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調査台帳" sheetId="2" state="visible" r:id="rId2"/>
    <sheet name="陣山店" sheetId="3" state="visible" r:id="rId3"/>
    <sheet name="新池店" sheetId="4" state="visible" r:id="rId4"/>
    <sheet name="宗像店" sheetId="5" state="visible" r:id="rId5"/>
    <sheet name="菊陽店" sheetId="6" state="visible" r:id="rId6"/>
    <sheet name="鳥栖真木店" sheetId="7" state="visible" r:id="rId7"/>
    <sheet name="佐賀兵庫店" sheetId="8" state="visible" r:id="rId8"/>
    <sheet name="宮崎阿波岐原店" sheetId="9" state="visible" r:id="rId9"/>
    <sheet name="検証チェック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sz val="9"/>
    </font>
    <font>
      <b val="1"/>
      <color rgb="00FFFFFF"/>
      <sz val="10"/>
    </font>
    <font>
      <b val="1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  <xf numFmtId="0" fontId="6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10" customWidth="1" min="4" max="4"/>
    <col width="11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22" customWidth="1" min="14" max="14"/>
  </cols>
  <sheetData>
    <row r="1">
      <c r="A1" s="1" t="inlineStr">
        <is>
          <t>資さんうどん 九州7店舗　周辺時給調査サマリー</t>
        </is>
      </c>
    </row>
    <row r="2">
      <c r="A2" s="2" t="inlineStr">
        <is>
          <t>調査日：2026-07-31　／　自社時給＝社内データ（実額確認済み）　／　周辺相場＝公開求人の掲載値</t>
        </is>
      </c>
    </row>
    <row r="4">
      <c r="A4" s="3" t="inlineStr">
        <is>
          <t>店舗</t>
        </is>
      </c>
      <c r="B4" s="3" t="inlineStr">
        <is>
          <t>県</t>
        </is>
      </c>
      <c r="C4" s="3" t="inlineStr">
        <is>
          <t>県最低賃金</t>
        </is>
      </c>
      <c r="D4" s="3" t="inlineStr">
        <is>
          <t>自社時給</t>
        </is>
      </c>
      <c r="E4" s="3" t="inlineStr">
        <is>
          <t>最賃との差</t>
        </is>
      </c>
      <c r="F4" s="3" t="inlineStr">
        <is>
          <t>深夜時給</t>
        </is>
      </c>
      <c r="G4" s="3" t="inlineStr">
        <is>
          <t>土日祝加算</t>
        </is>
      </c>
      <c r="H4" s="3" t="inlineStr">
        <is>
          <t>土日祝実質</t>
        </is>
      </c>
      <c r="I4" s="3" t="inlineStr">
        <is>
          <t>周辺件数</t>
        </is>
      </c>
      <c r="J4" s="3" t="inlineStr">
        <is>
          <t>周辺最安</t>
        </is>
      </c>
      <c r="K4" s="3" t="inlineStr">
        <is>
          <t>周辺中央値</t>
        </is>
      </c>
      <c r="L4" s="3" t="inlineStr">
        <is>
          <t>周辺最高</t>
        </is>
      </c>
      <c r="M4" s="3" t="inlineStr">
        <is>
          <t>自社-中央値</t>
        </is>
      </c>
      <c r="N4" s="3" t="inlineStr">
        <is>
          <t>自社の位置</t>
        </is>
      </c>
    </row>
    <row r="5">
      <c r="A5" s="4" t="inlineStr">
        <is>
          <t>陣山店</t>
        </is>
      </c>
      <c r="B5" s="4" t="inlineStr">
        <is>
          <t>福岡県</t>
        </is>
      </c>
      <c r="C5" s="4" t="n">
        <v>1057</v>
      </c>
      <c r="D5" s="4" t="n">
        <v>1057</v>
      </c>
      <c r="E5" s="4">
        <f>IF(ISNUMBER(D5),D5-C5,"-")</f>
        <v/>
      </c>
      <c r="F5" s="4" t="n">
        <v>1322</v>
      </c>
      <c r="G5" s="4" t="n">
        <v>130</v>
      </c>
      <c r="H5" s="4">
        <f>IF(ISNUMBER(D5),D5+G5,"-")</f>
        <v/>
      </c>
      <c r="I5" s="4">
        <f>'陣山店'!E14</f>
        <v/>
      </c>
      <c r="J5" s="4">
        <f>'陣山店'!E15</f>
        <v/>
      </c>
      <c r="K5" s="4">
        <f>'陣山店'!E17</f>
        <v/>
      </c>
      <c r="L5" s="4">
        <f>'陣山店'!E16</f>
        <v/>
      </c>
      <c r="M5" s="4">
        <f>IF(AND(ISNUMBER(D5),ISNUMBER(K5)),D5-K5,"-")</f>
        <v/>
      </c>
      <c r="N5" s="4">
        <f>IF(NOT(ISNUMBER(M5)),"判定不可",IF(M5&lt;0,"周辺より低い",IF(M5=0,"周辺と同水準","周辺より高い")))</f>
        <v/>
      </c>
    </row>
    <row r="6">
      <c r="A6" s="4" t="inlineStr">
        <is>
          <t>新池店</t>
        </is>
      </c>
      <c r="B6" s="4" t="inlineStr">
        <is>
          <t>福岡県</t>
        </is>
      </c>
      <c r="C6" s="4" t="n">
        <v>1057</v>
      </c>
      <c r="D6" s="4" t="n">
        <v>1057</v>
      </c>
      <c r="E6" s="4">
        <f>IF(ISNUMBER(D6),D6-C6,"-")</f>
        <v/>
      </c>
      <c r="F6" s="4" t="n">
        <v>1322</v>
      </c>
      <c r="G6" s="4" t="n">
        <v>130</v>
      </c>
      <c r="H6" s="4">
        <f>IF(ISNUMBER(D6),D6+G6,"-")</f>
        <v/>
      </c>
      <c r="I6" s="4">
        <f>'新池店'!E12</f>
        <v/>
      </c>
      <c r="J6" s="4">
        <f>'新池店'!E13</f>
        <v/>
      </c>
      <c r="K6" s="4">
        <f>'新池店'!E15</f>
        <v/>
      </c>
      <c r="L6" s="4">
        <f>'新池店'!E14</f>
        <v/>
      </c>
      <c r="M6" s="4">
        <f>IF(AND(ISNUMBER(D6),ISNUMBER(K6)),D6-K6,"-")</f>
        <v/>
      </c>
      <c r="N6" s="4">
        <f>IF(NOT(ISNUMBER(M6)),"判定不可",IF(M6&lt;0,"周辺より低い",IF(M6=0,"周辺と同水準","周辺より高い")))</f>
        <v/>
      </c>
    </row>
    <row r="7">
      <c r="A7" s="4" t="inlineStr">
        <is>
          <t>宗像店</t>
        </is>
      </c>
      <c r="B7" s="4" t="inlineStr">
        <is>
          <t>福岡県</t>
        </is>
      </c>
      <c r="C7" s="4" t="n">
        <v>1057</v>
      </c>
      <c r="D7" s="4" t="n">
        <v>1057</v>
      </c>
      <c r="E7" s="4">
        <f>IF(ISNUMBER(D7),D7-C7,"-")</f>
        <v/>
      </c>
      <c r="F7" s="4" t="n">
        <v>1322</v>
      </c>
      <c r="G7" s="4" t="n">
        <v>130</v>
      </c>
      <c r="H7" s="4">
        <f>IF(ISNUMBER(D7),D7+G7,"-")</f>
        <v/>
      </c>
      <c r="I7" s="4">
        <f>'宗像店'!E11</f>
        <v/>
      </c>
      <c r="J7" s="4">
        <f>'宗像店'!E12</f>
        <v/>
      </c>
      <c r="K7" s="4">
        <f>'宗像店'!E14</f>
        <v/>
      </c>
      <c r="L7" s="4">
        <f>'宗像店'!E13</f>
        <v/>
      </c>
      <c r="M7" s="4">
        <f>IF(AND(ISNUMBER(D7),ISNUMBER(K7)),D7-K7,"-")</f>
        <v/>
      </c>
      <c r="N7" s="4">
        <f>IF(NOT(ISNUMBER(M7)),"判定不可",IF(M7&lt;0,"周辺より低い",IF(M7=0,"周辺と同水準","周辺より高い")))</f>
        <v/>
      </c>
    </row>
    <row r="8">
      <c r="A8" s="4" t="inlineStr">
        <is>
          <t>菊陽店</t>
        </is>
      </c>
      <c r="B8" s="4" t="inlineStr">
        <is>
          <t>熊本県</t>
        </is>
      </c>
      <c r="C8" s="4" t="n">
        <v>1034</v>
      </c>
      <c r="D8" s="4" t="n">
        <v>1034</v>
      </c>
      <c r="E8" s="4">
        <f>IF(ISNUMBER(D8),D8-C8,"-")</f>
        <v/>
      </c>
      <c r="F8" s="4" t="n">
        <v>1293</v>
      </c>
      <c r="G8" s="4" t="n">
        <v>130</v>
      </c>
      <c r="H8" s="4">
        <f>IF(ISNUMBER(D8),D8+G8,"-")</f>
        <v/>
      </c>
      <c r="I8" s="4">
        <f>'菊陽店'!E11</f>
        <v/>
      </c>
      <c r="J8" s="4">
        <f>'菊陽店'!E12</f>
        <v/>
      </c>
      <c r="K8" s="4">
        <f>'菊陽店'!E14</f>
        <v/>
      </c>
      <c r="L8" s="4">
        <f>'菊陽店'!E13</f>
        <v/>
      </c>
      <c r="M8" s="4">
        <f>IF(AND(ISNUMBER(D8),ISNUMBER(K8)),D8-K8,"-")</f>
        <v/>
      </c>
      <c r="N8" s="4">
        <f>IF(NOT(ISNUMBER(M8)),"判定不可",IF(M8&lt;0,"周辺より低い",IF(M8=0,"周辺と同水準","周辺より高い")))</f>
        <v/>
      </c>
    </row>
    <row r="9">
      <c r="A9" s="4" t="inlineStr">
        <is>
          <t>鳥栖真木店</t>
        </is>
      </c>
      <c r="B9" s="4" t="inlineStr">
        <is>
          <t>佐賀県</t>
        </is>
      </c>
      <c r="C9" s="4" t="n">
        <v>1030</v>
      </c>
      <c r="D9" s="4" t="n">
        <v>1030</v>
      </c>
      <c r="E9" s="4">
        <f>IF(ISNUMBER(D9),D9-C9,"-")</f>
        <v/>
      </c>
      <c r="F9" s="4" t="n">
        <v>1288</v>
      </c>
      <c r="G9" s="4" t="n">
        <v>130</v>
      </c>
      <c r="H9" s="4">
        <f>IF(ISNUMBER(D9),D9+G9,"-")</f>
        <v/>
      </c>
      <c r="I9" s="4">
        <f>'鳥栖真木店'!E11</f>
        <v/>
      </c>
      <c r="J9" s="4">
        <f>'鳥栖真木店'!E12</f>
        <v/>
      </c>
      <c r="K9" s="4">
        <f>'鳥栖真木店'!E14</f>
        <v/>
      </c>
      <c r="L9" s="4">
        <f>'鳥栖真木店'!E13</f>
        <v/>
      </c>
      <c r="M9" s="4">
        <f>IF(AND(ISNUMBER(D9),ISNUMBER(K9)),D9-K9,"-")</f>
        <v/>
      </c>
      <c r="N9" s="4">
        <f>IF(NOT(ISNUMBER(M9)),"判定不可",IF(M9&lt;0,"周辺より低い",IF(M9=0,"周辺と同水準","周辺より高い")))</f>
        <v/>
      </c>
    </row>
    <row r="10">
      <c r="A10" s="4" t="inlineStr">
        <is>
          <t>佐賀兵庫店</t>
        </is>
      </c>
      <c r="B10" s="4" t="inlineStr">
        <is>
          <t>佐賀県</t>
        </is>
      </c>
      <c r="C10" s="4" t="n">
        <v>1030</v>
      </c>
      <c r="D10" s="4" t="n">
        <v>1030</v>
      </c>
      <c r="E10" s="4">
        <f>IF(ISNUMBER(D10),D10-C10,"-")</f>
        <v/>
      </c>
      <c r="F10" s="4" t="n">
        <v>1288</v>
      </c>
      <c r="G10" s="4" t="n">
        <v>130</v>
      </c>
      <c r="H10" s="4">
        <f>IF(ISNUMBER(D10),D10+G10,"-")</f>
        <v/>
      </c>
      <c r="I10" s="4">
        <f>'佐賀兵庫店'!E11</f>
        <v/>
      </c>
      <c r="J10" s="4">
        <f>'佐賀兵庫店'!E12</f>
        <v/>
      </c>
      <c r="K10" s="4">
        <f>'佐賀兵庫店'!E14</f>
        <v/>
      </c>
      <c r="L10" s="4">
        <f>'佐賀兵庫店'!E13</f>
        <v/>
      </c>
      <c r="M10" s="4">
        <f>IF(AND(ISNUMBER(D10),ISNUMBER(K10)),D10-K10,"-")</f>
        <v/>
      </c>
      <c r="N10" s="4">
        <f>IF(NOT(ISNUMBER(M10)),"判定不可",IF(M10&lt;0,"周辺より低い",IF(M10=0,"周辺と同水準","周辺より高い")))</f>
        <v/>
      </c>
    </row>
    <row r="11">
      <c r="A11" s="4" t="inlineStr">
        <is>
          <t>宮崎阿波岐原店</t>
        </is>
      </c>
      <c r="B11" s="4" t="inlineStr">
        <is>
          <t>宮崎県</t>
        </is>
      </c>
      <c r="C11" s="4" t="n">
        <v>1023</v>
      </c>
      <c r="D11" s="4" t="inlineStr">
        <is>
          <t>未提供</t>
        </is>
      </c>
      <c r="E11" s="4">
        <f>IF(ISNUMBER(D11),D11-C11,"-")</f>
        <v/>
      </c>
      <c r="F11" s="4" t="inlineStr">
        <is>
          <t>-</t>
        </is>
      </c>
      <c r="G11" s="4" t="n">
        <v>130</v>
      </c>
      <c r="H11" s="4">
        <f>IF(ISNUMBER(D11),D11+G11,"-")</f>
        <v/>
      </c>
      <c r="I11" s="4">
        <f>'宮崎阿波岐原店'!E13</f>
        <v/>
      </c>
      <c r="J11" s="4">
        <f>'宮崎阿波岐原店'!E14</f>
        <v/>
      </c>
      <c r="K11" s="4">
        <f>'宮崎阿波岐原店'!E16</f>
        <v/>
      </c>
      <c r="L11" s="4">
        <f>'宮崎阿波岐原店'!E15</f>
        <v/>
      </c>
      <c r="M11" s="4">
        <f>IF(AND(ISNUMBER(D11),ISNUMBER(K11)),D11-K11,"-")</f>
        <v/>
      </c>
      <c r="N11" s="4">
        <f>IF(NOT(ISNUMBER(M11)),"判定不可",IF(M11&lt;0,"周辺より低い",IF(M11=0,"周辺と同水準","周辺より高い")))</f>
        <v/>
      </c>
    </row>
    <row r="13">
      <c r="A13" s="5" t="inlineStr">
        <is>
          <t>所見</t>
        </is>
      </c>
    </row>
    <row r="14">
      <c r="A14" s="2" t="inlineStr">
        <is>
          <t>1. 7店舗中6店舗（社内データ提供分すべて）の時給は、県の地域別最低賃金と1円単位で同額です。差は0円です。</t>
        </is>
      </c>
    </row>
    <row r="15">
      <c r="A15" s="2" t="inlineStr">
        <is>
          <t>2. 深夜時給は全店とも 基本時給×1.25 の切り上げで、社内データ内の整合は取れています。</t>
        </is>
      </c>
    </row>
    <row r="16">
      <c r="A16" s="2" t="inlineStr">
        <is>
          <t>3. 宮崎阿波岐原店の社内データが未提供です。公開求人には平日1,000円と出ていますが、</t>
        </is>
      </c>
    </row>
    <row r="17">
      <c r="A17" s="2" t="inlineStr">
        <is>
          <t xml:space="preserve">   宮崎県の最低賃金1,023円を下回るため、2025年11月の改定前の旧掲載です。数値として採用していません。</t>
        </is>
      </c>
    </row>
    <row r="18">
      <c r="A18" s="2" t="inlineStr">
        <is>
          <t>4. 公開求人には最低賃金割れの旧掲載が複数ありました（丸亀製麺 鳥栖店980円・佐賀店1,000円・宮崎住吉店1,000円、</t>
        </is>
      </c>
    </row>
    <row r="19">
      <c r="A19" s="2" t="inlineStr">
        <is>
          <t xml:space="preserve">   うどんウエスト 菊陽光の森店900円）。いずれも自動判定で「未確定」に落としています。</t>
        </is>
      </c>
    </row>
    <row r="20">
      <c r="A20" s="2" t="inlineStr">
        <is>
          <t>5. 周辺相場は公開求人の掲載値であり、実際に支払われている時給ではありません。証明レベルの違いは調査台帳を参照してください。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26" customWidth="1" min="4" max="4"/>
    <col width="30" customWidth="1" min="5" max="5"/>
    <col width="16" customWidth="1" min="6" max="6"/>
    <col width="10" customWidth="1" min="7" max="7"/>
    <col width="46" customWidth="1" min="8" max="8"/>
    <col width="14" customWidth="1" min="9" max="9"/>
    <col width="52" customWidth="1" min="10" max="10"/>
    <col width="10" customWidth="1" min="11" max="11"/>
    <col width="18" customWidth="1" min="12" max="12"/>
    <col width="12" customWidth="1" min="13" max="13"/>
    <col width="24" customWidth="1" min="14" max="14"/>
    <col width="11" customWidth="1" min="15" max="15"/>
    <col width="46" customWidth="1" min="16" max="16"/>
  </cols>
  <sheetData>
    <row r="1">
      <c r="A1" s="6" t="inlineStr">
        <is>
          <t>調査台帳（証拠シート）— 判定列は数式です。手入力しないでください</t>
        </is>
      </c>
    </row>
    <row r="2">
      <c r="A2" s="2" t="inlineStr">
        <is>
          <t>収集者が記入してよいのは D〜J の証拠列のみ。L・M・N の判定は証拠から自動算出されます。『店舗一致OK』と人が書けば通る自己採点を構造的に排除するための設計です。</t>
        </is>
      </c>
    </row>
    <row r="3">
      <c r="A3" s="2" t="inlineStr">
        <is>
          <t>採用条件：店舗名・所在地・求人ID・時給が同じ求人ブロックから取れていること(証拠4点セット)。近隣求人欄・ブランド共通レンジ・施設一般値からの金額は採用しません。</t>
        </is>
      </c>
    </row>
    <row r="5">
      <c r="A5" s="3" t="inlineStr">
        <is>
          <t>No.</t>
        </is>
      </c>
      <c r="B5" s="3" t="inlineStr">
        <is>
          <t>対象資さん店舗</t>
        </is>
      </c>
      <c r="C5" s="3" t="inlineStr">
        <is>
          <t>区分</t>
        </is>
      </c>
      <c r="D5" s="3" t="inlineStr">
        <is>
          <t>競合店舗名(証拠)</t>
        </is>
      </c>
      <c r="E5" s="3" t="inlineStr">
        <is>
          <t>所在地・施設(証拠)</t>
        </is>
      </c>
      <c r="F5" s="3" t="inlineStr">
        <is>
          <t>求人ID/識別子(証拠)</t>
        </is>
      </c>
      <c r="G5" s="3" t="inlineStr">
        <is>
          <t>基本時給(証拠)</t>
        </is>
      </c>
      <c r="H5" s="3" t="inlineStr">
        <is>
          <t>時給条件(原文)</t>
        </is>
      </c>
      <c r="I5" s="3" t="inlineStr">
        <is>
          <t>取得元区分</t>
        </is>
      </c>
      <c r="J5" s="3" t="inlineStr">
        <is>
          <t>出典URL</t>
        </is>
      </c>
      <c r="K5" s="3" t="inlineStr">
        <is>
          <t>県最低賃金</t>
        </is>
      </c>
      <c r="L5" s="3" t="inlineStr">
        <is>
          <t>【自動】最賃判定</t>
        </is>
      </c>
      <c r="M5" s="3" t="inlineStr">
        <is>
          <t>【自動】証拠4点</t>
        </is>
      </c>
      <c r="N5" s="3" t="inlineStr">
        <is>
          <t>【自動】証明レベル</t>
        </is>
      </c>
      <c r="O5" s="3" t="inlineStr">
        <is>
          <t>確認日</t>
        </is>
      </c>
      <c r="P5" s="3" t="inlineStr">
        <is>
          <t>備考</t>
        </is>
      </c>
    </row>
    <row r="6">
      <c r="A6" s="7" t="n">
        <v>1</v>
      </c>
      <c r="B6" s="7" t="inlineStr">
        <is>
          <t>陣山店</t>
        </is>
      </c>
      <c r="C6" s="7" t="inlineStr">
        <is>
          <t>牛丼</t>
        </is>
      </c>
      <c r="D6" s="7" t="inlineStr">
        <is>
          <t>すき家 3号黒崎店</t>
        </is>
      </c>
      <c r="E6" s="8" t="inlineStr">
        <is>
          <t>北九州市八幡西区(黒崎駅近く)</t>
        </is>
      </c>
      <c r="F6" s="7" t="inlineStr">
        <is>
          <t>3号黒崎店</t>
        </is>
      </c>
      <c r="G6" s="7" t="n">
        <v>1080</v>
      </c>
      <c r="H6" s="8" t="inlineStr">
        <is>
          <t>求人表示 1,080～1,350円</t>
        </is>
      </c>
      <c r="I6" s="7" t="inlineStr">
        <is>
          <t>店舗固有求人</t>
        </is>
      </c>
      <c r="J6" s="8" t="inlineStr">
        <is>
          <t>https://www.baitoru.com/kyushu/jlist/fukuoka/kitakyusyushi/kitakyushushiyahatanishiku/</t>
        </is>
      </c>
      <c r="K6" s="7" t="n">
        <v>1057</v>
      </c>
      <c r="L6" s="7">
        <f>IF(G6="","-",IF(G6&lt;K6,"割れ(旧掲載疑い)","OK"))</f>
        <v/>
      </c>
      <c r="M6" s="7">
        <f>IF(AND(D6&lt;&gt;"",E6&lt;&gt;"",F6&lt;&gt;"",G6&lt;&gt;""),"充足","不足")</f>
        <v/>
      </c>
      <c r="N6" s="7">
        <f>IF(I6="ブランド共通","未確定(店舗非固有)",IF(I6="施設一般","未確定(施設一般値)",IF(I6="近隣求人欄","未確定(近隣欄からの抽出)",IF(I6="店舗非特定","未確定(店舗非特定)",IF(G6="","取得不能",IF(L6="割れ(旧掲載疑い)","未確定(最低賃金割れ)",IF(M6="不足","未確定(証拠不足)","媒体掲載値")))))))</f>
        <v/>
      </c>
      <c r="O6" s="7" t="inlineStr">
        <is>
          <t>2026-07-31</t>
        </is>
      </c>
      <c r="P6" s="8" t="inlineStr"/>
    </row>
    <row r="7">
      <c r="A7" s="7" t="n">
        <v>2</v>
      </c>
      <c r="B7" s="7" t="inlineStr">
        <is>
          <t>陣山店</t>
        </is>
      </c>
      <c r="C7" s="7" t="inlineStr">
        <is>
          <t>ファミレス</t>
        </is>
      </c>
      <c r="D7" s="7" t="inlineStr">
        <is>
          <t>ジョイフル 北九州黒崎店</t>
        </is>
      </c>
      <c r="E7" s="8" t="inlineStr">
        <is>
          <t>北九州市八幡西区</t>
        </is>
      </c>
      <c r="F7" s="7" t="inlineStr">
        <is>
          <t>job155176519</t>
        </is>
      </c>
      <c r="G7" s="7" t="n">
        <v>1107</v>
      </c>
      <c r="H7" s="8" t="inlineStr">
        <is>
          <t>9-15時 1,200円／15-22時 1,107円／22-5時 1,564円／5-9時 1,551円／高校生 1,107円</t>
        </is>
      </c>
      <c r="I7" s="7" t="inlineStr">
        <is>
          <t>店舗固有求人</t>
        </is>
      </c>
      <c r="J7" s="8" t="inlineStr">
        <is>
          <t>https://www.baitoru.com/kyushu/jlist/fukuoka/kitakyusyushi/kitakyushushiyahatanishiku/job155176519/</t>
        </is>
      </c>
      <c r="K7" s="7" t="n">
        <v>1057</v>
      </c>
      <c r="L7" s="7">
        <f>IF(G7="","-",IF(G7&lt;K7,"割れ(旧掲載疑い)","OK"))</f>
        <v/>
      </c>
      <c r="M7" s="7">
        <f>IF(AND(D7&lt;&gt;"",E7&lt;&gt;"",F7&lt;&gt;"",G7&lt;&gt;""),"充足","不足")</f>
        <v/>
      </c>
      <c r="N7" s="7">
        <f>IF(I7="ブランド共通","未確定(店舗非固有)",IF(I7="施設一般","未確定(施設一般値)",IF(I7="近隣求人欄","未確定(近隣欄からの抽出)",IF(I7="店舗非特定","未確定(店舗非特定)",IF(G7="","取得不能",IF(L7="割れ(旧掲載疑い)","未確定(最低賃金割れ)",IF(M7="不足","未確定(証拠不足)","媒体掲載値")))))))</f>
        <v/>
      </c>
      <c r="O7" s="7" t="inlineStr">
        <is>
          <t>2026-07-31</t>
        </is>
      </c>
      <c r="P7" s="8" t="inlineStr"/>
    </row>
    <row r="8">
      <c r="A8" s="7" t="n">
        <v>3</v>
      </c>
      <c r="B8" s="7" t="inlineStr">
        <is>
          <t>陣山店</t>
        </is>
      </c>
      <c r="C8" s="7" t="inlineStr">
        <is>
          <t>ファストフード</t>
        </is>
      </c>
      <c r="D8" s="7" t="inlineStr">
        <is>
          <t>マクドナルド フレスポ黒崎店</t>
        </is>
      </c>
      <c r="E8" s="8" t="inlineStr">
        <is>
          <t>北九州市八幡西区</t>
        </is>
      </c>
      <c r="F8" s="7" t="inlineStr">
        <is>
          <t>job147130904</t>
        </is>
      </c>
      <c r="G8" s="7" t="n">
        <v>1060</v>
      </c>
      <c r="H8" s="8" t="inlineStr">
        <is>
          <t>22-5時 25%UP</t>
        </is>
      </c>
      <c r="I8" s="7" t="inlineStr">
        <is>
          <t>店舗固有求人</t>
        </is>
      </c>
      <c r="J8" s="8" t="inlineStr">
        <is>
          <t>https://www.baitoru.com/kyushu/jlist/fukuoka/kitakyusyushi/kitakyushushiyahatanishiku/job147130904/</t>
        </is>
      </c>
      <c r="K8" s="7" t="n">
        <v>1057</v>
      </c>
      <c r="L8" s="7">
        <f>IF(G8="","-",IF(G8&lt;K8,"割れ(旧掲載疑い)","OK"))</f>
        <v/>
      </c>
      <c r="M8" s="7">
        <f>IF(AND(D8&lt;&gt;"",E8&lt;&gt;"",F8&lt;&gt;"",G8&lt;&gt;""),"充足","不足")</f>
        <v/>
      </c>
      <c r="N8" s="7">
        <f>IF(I8="ブランド共通","未確定(店舗非固有)",IF(I8="施設一般","未確定(施設一般値)",IF(I8="近隣求人欄","未確定(近隣欄からの抽出)",IF(I8="店舗非特定","未確定(店舗非特定)",IF(G8="","取得不能",IF(L8="割れ(旧掲載疑い)","未確定(最低賃金割れ)",IF(M8="不足","未確定(証拠不足)","媒体掲載値")))))))</f>
        <v/>
      </c>
      <c r="O8" s="7" t="inlineStr">
        <is>
          <t>2026-07-31</t>
        </is>
      </c>
      <c r="P8" s="8" t="inlineStr"/>
    </row>
    <row r="9">
      <c r="A9" s="7" t="n">
        <v>4</v>
      </c>
      <c r="B9" s="7" t="inlineStr">
        <is>
          <t>陣山店</t>
        </is>
      </c>
      <c r="C9" s="7" t="inlineStr">
        <is>
          <t>牛丼</t>
        </is>
      </c>
      <c r="D9" s="7" t="inlineStr">
        <is>
          <t>吉野家 3号線黒崎西店</t>
        </is>
      </c>
      <c r="E9" s="8" t="inlineStr">
        <is>
          <t>北九州市八幡西区</t>
        </is>
      </c>
      <c r="F9" s="7" t="inlineStr">
        <is>
          <t>ysn_044844</t>
        </is>
      </c>
      <c r="G9" s="7" t="n">
        <v>1060</v>
      </c>
      <c r="H9" s="8" t="inlineStr">
        <is>
          <t>求人表示 1,060～1,325円</t>
        </is>
      </c>
      <c r="I9" s="7" t="inlineStr">
        <is>
          <t>店舗固有求人</t>
        </is>
      </c>
      <c r="J9" s="8" t="inlineStr">
        <is>
          <t>https://www.yoshinoya.com/baito/op71872/alist/kyushu_fukuoka_kitakyusyushi_kitakyushushiyahatanishiku/</t>
        </is>
      </c>
      <c r="K9" s="7" t="n">
        <v>1057</v>
      </c>
      <c r="L9" s="7">
        <f>IF(G9="","-",IF(G9&lt;K9,"割れ(旧掲載疑い)","OK"))</f>
        <v/>
      </c>
      <c r="M9" s="7">
        <f>IF(AND(D9&lt;&gt;"",E9&lt;&gt;"",F9&lt;&gt;"",G9&lt;&gt;""),"充足","不足")</f>
        <v/>
      </c>
      <c r="N9" s="7">
        <f>IF(I9="ブランド共通","未確定(店舗非固有)",IF(I9="施設一般","未確定(施設一般値)",IF(I9="近隣求人欄","未確定(近隣欄からの抽出)",IF(I9="店舗非特定","未確定(店舗非特定)",IF(G9="","取得不能",IF(L9="割れ(旧掲載疑い)","未確定(最低賃金割れ)",IF(M9="不足","未確定(証拠不足)","媒体掲載値")))))))</f>
        <v/>
      </c>
      <c r="O9" s="7" t="inlineStr">
        <is>
          <t>2026-07-31</t>
        </is>
      </c>
      <c r="P9" s="8" t="inlineStr"/>
    </row>
    <row r="10">
      <c r="A10" s="9" t="n">
        <v>5</v>
      </c>
      <c r="B10" s="9" t="inlineStr">
        <is>
          <t>陣山店</t>
        </is>
      </c>
      <c r="C10" s="9" t="inlineStr">
        <is>
          <t>うどん(直接競合)</t>
        </is>
      </c>
      <c r="D10" s="9" t="inlineStr">
        <is>
          <t>うどんウエスト(八幡西区)</t>
        </is>
      </c>
      <c r="E10" s="10" t="inlineStr"/>
      <c r="F10" s="9" t="inlineStr"/>
      <c r="G10" s="9" t="n">
        <v>1050</v>
      </c>
      <c r="H10" s="10" t="inlineStr">
        <is>
          <t>八幡西区として1,050円～と表示</t>
        </is>
      </c>
      <c r="I10" s="9" t="inlineStr">
        <is>
          <t>店舗非特定</t>
        </is>
      </c>
      <c r="J10" s="10" t="inlineStr">
        <is>
          <t>https://west-saiyou.net/</t>
        </is>
      </c>
      <c r="K10" s="9" t="n">
        <v>1057</v>
      </c>
      <c r="L10" s="9">
        <f>IF(G10="","-",IF(G10&lt;K10,"割れ(旧掲載疑い)","OK"))</f>
        <v/>
      </c>
      <c r="M10" s="9">
        <f>IF(AND(D10&lt;&gt;"",E10&lt;&gt;"",F10&lt;&gt;"",G10&lt;&gt;""),"充足","不足")</f>
        <v/>
      </c>
      <c r="N10" s="9">
        <f>IF(I10="ブランド共通","未確定(店舗非固有)",IF(I10="施設一般","未確定(施設一般値)",IF(I10="近隣求人欄","未確定(近隣欄からの抽出)",IF(I10="店舗非特定","未確定(店舗非特定)",IF(G10="","取得不能",IF(L10="割れ(旧掲載疑い)","未確定(最低賃金割れ)",IF(M10="不足","未確定(証拠不足)","媒体掲載値")))))))</f>
        <v/>
      </c>
      <c r="O10" s="9" t="inlineStr">
        <is>
          <t>2026-07-31</t>
        </is>
      </c>
      <c r="P10" s="10" t="inlineStr">
        <is>
          <t>★八幡西区のどの店舗の値か特定できない。数式が自動で弾く</t>
        </is>
      </c>
    </row>
    <row r="11">
      <c r="A11" s="9" t="n">
        <v>6</v>
      </c>
      <c r="B11" s="9" t="inlineStr">
        <is>
          <t>陣山店</t>
        </is>
      </c>
      <c r="C11" s="9" t="inlineStr">
        <is>
          <t>ちゃんぽん</t>
        </is>
      </c>
      <c r="D11" s="9" t="inlineStr">
        <is>
          <t>リンガーハット コムシティ黒崎店</t>
        </is>
      </c>
      <c r="E11" s="10" t="inlineStr">
        <is>
          <t>北九州市八幡西区(JR黒崎駅前コムシティ3F)</t>
        </is>
      </c>
      <c r="F11" s="9" t="inlineStr">
        <is>
          <t>job15735</t>
        </is>
      </c>
      <c r="G11" s="9" t="n">
        <v>1050</v>
      </c>
      <c r="H11" s="10" t="inlineStr">
        <is>
          <t>八幡西区のリンガーハットとして1,050円～と表示</t>
        </is>
      </c>
      <c r="I11" s="9" t="inlineStr">
        <is>
          <t>店舗非特定</t>
        </is>
      </c>
      <c r="J11" s="10" t="inlineStr">
        <is>
          <t>https://nishitetsu-store-job.net/jobfind-pc/job/All/15735</t>
        </is>
      </c>
      <c r="K11" s="9" t="n">
        <v>1057</v>
      </c>
      <c r="L11" s="9">
        <f>IF(G11="","-",IF(G11&lt;K11,"割れ(旧掲載疑い)","OK"))</f>
        <v/>
      </c>
      <c r="M11" s="9">
        <f>IF(AND(D11&lt;&gt;"",E11&lt;&gt;"",F11&lt;&gt;"",G11&lt;&gt;""),"充足","不足")</f>
        <v/>
      </c>
      <c r="N11" s="9">
        <f>IF(I11="ブランド共通","未確定(店舗非固有)",IF(I11="施設一般","未確定(施設一般値)",IF(I11="近隣求人欄","未確定(近隣欄からの抽出)",IF(I11="店舗非特定","未確定(店舗非特定)",IF(G11="","取得不能",IF(L11="割れ(旧掲載疑い)","未確定(最低賃金割れ)",IF(M11="不足","未確定(証拠不足)","媒体掲載値")))))))</f>
        <v/>
      </c>
      <c r="O11" s="9" t="inlineStr">
        <is>
          <t>2026-07-31</t>
        </is>
      </c>
      <c r="P11" s="10" t="inlineStr">
        <is>
          <t>★運営は西鉄ストア。1,050円がこの店舗の値か確認できない</t>
        </is>
      </c>
    </row>
    <row r="12">
      <c r="A12" s="9" t="n">
        <v>7</v>
      </c>
      <c r="B12" s="9" t="inlineStr">
        <is>
          <t>陣山店</t>
        </is>
      </c>
      <c r="C12" s="9" t="inlineStr">
        <is>
          <t>ファミレス</t>
        </is>
      </c>
      <c r="D12" s="9" t="inlineStr">
        <is>
          <t>ガスト イオンタウン黒崎店</t>
        </is>
      </c>
      <c r="E12" s="10" t="inlineStr">
        <is>
          <t>北九州市八幡西区西曲里町3-3</t>
        </is>
      </c>
      <c r="F12" s="9" t="inlineStr"/>
      <c r="G12" s="9" t="n">
        <v>1240</v>
      </c>
      <c r="H12" s="10" t="inlineStr">
        <is>
          <t>福岡県内共通レンジ 1,240～1,428円(深夜割増込み)のみ取得</t>
        </is>
      </c>
      <c r="I12" s="9" t="inlineStr">
        <is>
          <t>ブランド共通</t>
        </is>
      </c>
      <c r="J12" s="10" t="inlineStr">
        <is>
          <t>https://arbaito.skylark.co.jp/csaiyo/f1dr/pc_job/list/GT/kyuo/fukuoka/all</t>
        </is>
      </c>
      <c r="K12" s="9" t="n">
        <v>1057</v>
      </c>
      <c r="L12" s="9">
        <f>IF(G12="","-",IF(G12&lt;K12,"割れ(旧掲載疑い)","OK"))</f>
        <v/>
      </c>
      <c r="M12" s="9">
        <f>IF(AND(D12&lt;&gt;"",E12&lt;&gt;"",F12&lt;&gt;"",G12&lt;&gt;""),"充足","不足")</f>
        <v/>
      </c>
      <c r="N12" s="9">
        <f>IF(I12="ブランド共通","未確定(店舗非固有)",IF(I12="施設一般","未確定(施設一般値)",IF(I12="近隣求人欄","未確定(近隣欄からの抽出)",IF(I12="店舗非特定","未確定(店舗非特定)",IF(G12="","取得不能",IF(L12="割れ(旧掲載疑い)","未確定(最低賃金割れ)",IF(M12="不足","未確定(証拠不足)","媒体掲載値")))))))</f>
        <v/>
      </c>
      <c r="O12" s="9" t="inlineStr">
        <is>
          <t>2026-07-31</t>
        </is>
      </c>
      <c r="P12" s="10" t="inlineStr">
        <is>
          <t>★県内共通かつ深夜込みレンジ。通常時給として使うと南柏店サイゼリヤと同型の事故になる</t>
        </is>
      </c>
    </row>
    <row r="13">
      <c r="A13" s="7" t="n">
        <v>8</v>
      </c>
      <c r="B13" s="7" t="inlineStr">
        <is>
          <t>新池店</t>
        </is>
      </c>
      <c r="C13" s="7" t="inlineStr">
        <is>
          <t>回転寿司</t>
        </is>
      </c>
      <c r="D13" s="7" t="inlineStr">
        <is>
          <t>スシロー 戸畑鞘ヶ谷店</t>
        </is>
      </c>
      <c r="E13" s="8" t="inlineStr">
        <is>
          <t>北九州市戸畑区鞘ヶ谷</t>
        </is>
      </c>
      <c r="F13" s="7" t="inlineStr">
        <is>
          <t>スシロー戸畑鞘ヶ谷店</t>
        </is>
      </c>
      <c r="G13" s="7" t="n">
        <v>1100</v>
      </c>
      <c r="H13" s="8" t="inlineStr">
        <is>
          <t>求人表示 1,100～1,425円</t>
        </is>
      </c>
      <c r="I13" s="7" t="inlineStr">
        <is>
          <t>店舗固有求人</t>
        </is>
      </c>
      <c r="J13" s="8" t="inlineStr">
        <is>
          <t>https://www.hatarako.net/fukuoka/kitakyushushi/kitakyushushitobataku/ktp30/</t>
        </is>
      </c>
      <c r="K13" s="7" t="n">
        <v>1057</v>
      </c>
      <c r="L13" s="7">
        <f>IF(G13="","-",IF(G13&lt;K13,"割れ(旧掲載疑い)","OK"))</f>
        <v/>
      </c>
      <c r="M13" s="7">
        <f>IF(AND(D13&lt;&gt;"",E13&lt;&gt;"",F13&lt;&gt;"",G13&lt;&gt;""),"充足","不足")</f>
        <v/>
      </c>
      <c r="N13" s="7">
        <f>IF(I13="ブランド共通","未確定(店舗非固有)",IF(I13="施設一般","未確定(施設一般値)",IF(I13="近隣求人欄","未確定(近隣欄からの抽出)",IF(I13="店舗非特定","未確定(店舗非特定)",IF(G13="","取得不能",IF(L13="割れ(旧掲載疑い)","未確定(最低賃金割れ)",IF(M13="不足","未確定(証拠不足)","媒体掲載値")))))))</f>
        <v/>
      </c>
      <c r="O13" s="7" t="inlineStr">
        <is>
          <t>2026-07-31</t>
        </is>
      </c>
      <c r="P13" s="8" t="inlineStr"/>
    </row>
    <row r="14">
      <c r="A14" s="7" t="n">
        <v>9</v>
      </c>
      <c r="B14" s="7" t="inlineStr">
        <is>
          <t>新池店</t>
        </is>
      </c>
      <c r="C14" s="7" t="inlineStr">
        <is>
          <t>ファストフード</t>
        </is>
      </c>
      <c r="D14" s="7" t="inlineStr">
        <is>
          <t>マクドナルド 戸畑夜宮店</t>
        </is>
      </c>
      <c r="E14" s="8" t="inlineStr">
        <is>
          <t>北九州市戸畑区夜宮</t>
        </is>
      </c>
      <c r="F14" s="7" t="inlineStr">
        <is>
          <t>job156939010</t>
        </is>
      </c>
      <c r="G14" s="7" t="n">
        <v>1060</v>
      </c>
      <c r="H14" s="8" t="inlineStr">
        <is>
          <t>22-5時 25%UP</t>
        </is>
      </c>
      <c r="I14" s="7" t="inlineStr">
        <is>
          <t>店舗固有求人</t>
        </is>
      </c>
      <c r="J14" s="8" t="inlineStr">
        <is>
          <t>https://www.baitoru.com/kyushu/jlist/fukuoka/kitakyusyushi/kitakyushushitobataku/job156939010/</t>
        </is>
      </c>
      <c r="K14" s="7" t="n">
        <v>1057</v>
      </c>
      <c r="L14" s="7">
        <f>IF(G14="","-",IF(G14&lt;K14,"割れ(旧掲載疑い)","OK"))</f>
        <v/>
      </c>
      <c r="M14" s="7">
        <f>IF(AND(D14&lt;&gt;"",E14&lt;&gt;"",F14&lt;&gt;"",G14&lt;&gt;""),"充足","不足")</f>
        <v/>
      </c>
      <c r="N14" s="7">
        <f>IF(I14="ブランド共通","未確定(店舗非固有)",IF(I14="施設一般","未確定(施設一般値)",IF(I14="近隣求人欄","未確定(近隣欄からの抽出)",IF(I14="店舗非特定","未確定(店舗非特定)",IF(G14="","取得不能",IF(L14="割れ(旧掲載疑い)","未確定(最低賃金割れ)",IF(M14="不足","未確定(証拠不足)","媒体掲載値")))))))</f>
        <v/>
      </c>
      <c r="O14" s="7" t="inlineStr">
        <is>
          <t>2026-07-31</t>
        </is>
      </c>
      <c r="P14" s="8" t="inlineStr"/>
    </row>
    <row r="15">
      <c r="A15" s="7" t="n">
        <v>10</v>
      </c>
      <c r="B15" s="7" t="inlineStr">
        <is>
          <t>新池店</t>
        </is>
      </c>
      <c r="C15" s="7" t="inlineStr">
        <is>
          <t>ファストフード</t>
        </is>
      </c>
      <c r="D15" s="7" t="inlineStr">
        <is>
          <t>マクドナルド イオン戸畑SC店</t>
        </is>
      </c>
      <c r="E15" s="8" t="inlineStr">
        <is>
          <t>北九州市戸畑区汐井町2-2</t>
        </is>
      </c>
      <c r="F15" s="7" t="inlineStr">
        <is>
          <t>40564</t>
        </is>
      </c>
      <c r="G15" s="7" t="n"/>
      <c r="H15" s="8" t="inlineStr">
        <is>
          <t>高校生 1,057円～／22-5時 25%UP。一般時給は未取得</t>
        </is>
      </c>
      <c r="I15" s="7" t="inlineStr">
        <is>
          <t>未取得</t>
        </is>
      </c>
      <c r="J15" s="8" t="inlineStr">
        <is>
          <t>https://crewrecruiting.mcdonalds.co.jp/map/40564</t>
        </is>
      </c>
      <c r="K15" s="7" t="n">
        <v>1057</v>
      </c>
      <c r="L15" s="7">
        <f>IF(G15="","-",IF(G15&lt;K15,"割れ(旧掲載疑い)","OK"))</f>
        <v/>
      </c>
      <c r="M15" s="7">
        <f>IF(AND(D15&lt;&gt;"",E15&lt;&gt;"",F15&lt;&gt;"",G15&lt;&gt;""),"充足","不足")</f>
        <v/>
      </c>
      <c r="N15" s="7">
        <f>IF(I15="ブランド共通","未確定(店舗非固有)",IF(I15="施設一般","未確定(施設一般値)",IF(I15="近隣求人欄","未確定(近隣欄からの抽出)",IF(I15="店舗非特定","未確定(店舗非特定)",IF(G15="","取得不能",IF(L15="割れ(旧掲載疑い)","未確定(最低賃金割れ)",IF(M15="不足","未確定(証拠不足)","媒体掲載値")))))))</f>
        <v/>
      </c>
      <c r="O15" s="7" t="inlineStr">
        <is>
          <t>2026-07-31</t>
        </is>
      </c>
      <c r="P15" s="8" t="inlineStr">
        <is>
          <t>高校生時給しか取れず。通常時給と混同しないため未採用</t>
        </is>
      </c>
    </row>
    <row r="16">
      <c r="A16" s="9" t="n">
        <v>11</v>
      </c>
      <c r="B16" s="9" t="inlineStr">
        <is>
          <t>新池店</t>
        </is>
      </c>
      <c r="C16" s="9" t="inlineStr">
        <is>
          <t>うどん(直接競合)</t>
        </is>
      </c>
      <c r="D16" s="9" t="inlineStr">
        <is>
          <t>うどんウエスト 戸畑店</t>
        </is>
      </c>
      <c r="E16" s="10" t="inlineStr">
        <is>
          <t>北九州市戸畑区初音町9-25</t>
        </is>
      </c>
      <c r="F16" s="9" t="inlineStr"/>
      <c r="G16" s="9" t="n"/>
      <c r="H16" s="10" t="inlineStr">
        <is>
          <t>店舗の時給掲載を取得できず</t>
        </is>
      </c>
      <c r="I16" s="9" t="inlineStr">
        <is>
          <t>未取得</t>
        </is>
      </c>
      <c r="J16" s="10" t="inlineStr">
        <is>
          <t>https://west-saiyou.net/</t>
        </is>
      </c>
      <c r="K16" s="9" t="n">
        <v>1057</v>
      </c>
      <c r="L16" s="9">
        <f>IF(G16="","-",IF(G16&lt;K16,"割れ(旧掲載疑い)","OK"))</f>
        <v/>
      </c>
      <c r="M16" s="9">
        <f>IF(AND(D16&lt;&gt;"",E16&lt;&gt;"",F16&lt;&gt;"",G16&lt;&gt;""),"充足","不足")</f>
        <v/>
      </c>
      <c r="N16" s="9">
        <f>IF(I16="ブランド共通","未確定(店舗非固有)",IF(I16="施設一般","未確定(施設一般値)",IF(I16="近隣求人欄","未確定(近隣欄からの抽出)",IF(I16="店舗非特定","未確定(店舗非特定)",IF(G16="","取得不能",IF(L16="割れ(旧掲載疑い)","未確定(最低賃金割れ)",IF(M16="不足","未確定(証拠不足)","媒体掲載値")))))))</f>
        <v/>
      </c>
      <c r="O16" s="9" t="inlineStr">
        <is>
          <t>2026-07-31</t>
        </is>
      </c>
      <c r="P16" s="10" t="inlineStr">
        <is>
          <t>★小倉片野店の1,050円は別店舗。使用しない</t>
        </is>
      </c>
    </row>
    <row r="17">
      <c r="A17" s="9" t="n">
        <v>12</v>
      </c>
      <c r="B17" s="9" t="inlineStr">
        <is>
          <t>新池店</t>
        </is>
      </c>
      <c r="C17" s="9" t="inlineStr">
        <is>
          <t>ファミレス</t>
        </is>
      </c>
      <c r="D17" s="9" t="inlineStr">
        <is>
          <t>ジョイフル(戸畑区)</t>
        </is>
      </c>
      <c r="E17" s="10" t="inlineStr"/>
      <c r="F17" s="9" t="inlineStr"/>
      <c r="G17" s="9" t="n">
        <v>1042</v>
      </c>
      <c r="H17" s="10" t="inlineStr">
        <is>
          <t>検索で並んだのは本城店1,042円・小倉熊本店1,042円。いずれも戸畑区外</t>
        </is>
      </c>
      <c r="I17" s="9" t="inlineStr">
        <is>
          <t>店舗非特定</t>
        </is>
      </c>
      <c r="J17" s="10" t="inlineStr">
        <is>
          <t>https://joyful.saiyo-job.jp/dsaiyo/cct7/pc_job/list/all/kyuo/fukuoka/all</t>
        </is>
      </c>
      <c r="K17" s="9" t="n">
        <v>1057</v>
      </c>
      <c r="L17" s="9">
        <f>IF(G17="","-",IF(G17&lt;K17,"割れ(旧掲載疑い)","OK"))</f>
        <v/>
      </c>
      <c r="M17" s="9">
        <f>IF(AND(D17&lt;&gt;"",E17&lt;&gt;"",F17&lt;&gt;"",G17&lt;&gt;""),"充足","不足")</f>
        <v/>
      </c>
      <c r="N17" s="9">
        <f>IF(I17="ブランド共通","未確定(店舗非固有)",IF(I17="施設一般","未確定(施設一般値)",IF(I17="近隣求人欄","未確定(近隣欄からの抽出)",IF(I17="店舗非特定","未確定(店舗非特定)",IF(G17="","取得不能",IF(L17="割れ(旧掲載疑い)","未確定(最低賃金割れ)",IF(M17="不足","未確定(証拠不足)","媒体掲載値")))))))</f>
        <v/>
      </c>
      <c r="O17" s="9" t="inlineStr">
        <is>
          <t>2026-07-31</t>
        </is>
      </c>
      <c r="P17" s="10" t="inlineStr">
        <is>
          <t>★検索で出た本城店・小倉熊本店はいずれも戸畑区外。別店舗の値なので使用しない</t>
        </is>
      </c>
    </row>
    <row r="18">
      <c r="A18" s="7" t="n">
        <v>13</v>
      </c>
      <c r="B18" s="7" t="inlineStr">
        <is>
          <t>宗像店</t>
        </is>
      </c>
      <c r="C18" s="7" t="inlineStr">
        <is>
          <t>ファミレス</t>
        </is>
      </c>
      <c r="D18" s="7" t="inlineStr">
        <is>
          <t>ジョイフル 宗像徳重店</t>
        </is>
      </c>
      <c r="E18" s="8" t="inlineStr">
        <is>
          <t>福岡県宗像市徳重</t>
        </is>
      </c>
      <c r="F18" s="7" t="inlineStr">
        <is>
          <t>ジョイフル宗像徳重店</t>
        </is>
      </c>
      <c r="G18" s="7" t="n">
        <v>1150</v>
      </c>
      <c r="H18" s="8" t="inlineStr">
        <is>
          <t>9:00-15:00 の時給</t>
        </is>
      </c>
      <c r="I18" s="7" t="inlineStr">
        <is>
          <t>店舗固有求人</t>
        </is>
      </c>
      <c r="J18" s="8" t="inlineStr">
        <is>
          <t>https://www.baitoru.com/kyushu/jlist/fukuoka/kitakyusyushiigai/munakatashi/food/</t>
        </is>
      </c>
      <c r="K18" s="7" t="n">
        <v>1057</v>
      </c>
      <c r="L18" s="7">
        <f>IF(G18="","-",IF(G18&lt;K18,"割れ(旧掲載疑い)","OK"))</f>
        <v/>
      </c>
      <c r="M18" s="7">
        <f>IF(AND(D18&lt;&gt;"",E18&lt;&gt;"",F18&lt;&gt;"",G18&lt;&gt;""),"充足","不足")</f>
        <v/>
      </c>
      <c r="N18" s="7">
        <f>IF(I18="ブランド共通","未確定(店舗非固有)",IF(I18="施設一般","未確定(施設一般値)",IF(I18="近隣求人欄","未確定(近隣欄からの抽出)",IF(I18="店舗非特定","未確定(店舗非特定)",IF(G18="","取得不能",IF(L18="割れ(旧掲載疑い)","未確定(最低賃金割れ)",IF(M18="不足","未確定(証拠不足)","媒体掲載値")))))))</f>
        <v/>
      </c>
      <c r="O18" s="7" t="inlineStr">
        <is>
          <t>2026-07-31</t>
        </is>
      </c>
      <c r="P18" s="8" t="inlineStr"/>
    </row>
    <row r="19">
      <c r="A19" s="7" t="n">
        <v>14</v>
      </c>
      <c r="B19" s="7" t="inlineStr">
        <is>
          <t>宗像店</t>
        </is>
      </c>
      <c r="C19" s="7" t="inlineStr">
        <is>
          <t>ファストフード</t>
        </is>
      </c>
      <c r="D19" s="7" t="inlineStr">
        <is>
          <t>マクドナルド 宗像ミスターマックス店</t>
        </is>
      </c>
      <c r="E19" s="8" t="inlineStr">
        <is>
          <t>福岡県宗像市</t>
        </is>
      </c>
      <c r="F19" s="7" t="inlineStr">
        <is>
          <t>40031</t>
        </is>
      </c>
      <c r="G19" s="7" t="n"/>
      <c r="H19" s="8" t="inlineStr">
        <is>
          <t>時給の記載を取得できず</t>
        </is>
      </c>
      <c r="I19" s="7" t="inlineStr">
        <is>
          <t>未取得</t>
        </is>
      </c>
      <c r="J19" s="8" t="inlineStr">
        <is>
          <t>https://crewrecruiting.mcdonalds.co.jp/map/40031</t>
        </is>
      </c>
      <c r="K19" s="7" t="n">
        <v>1057</v>
      </c>
      <c r="L19" s="7">
        <f>IF(G19="","-",IF(G19&lt;K19,"割れ(旧掲載疑い)","OK"))</f>
        <v/>
      </c>
      <c r="M19" s="7">
        <f>IF(AND(D19&lt;&gt;"",E19&lt;&gt;"",F19&lt;&gt;"",G19&lt;&gt;""),"充足","不足")</f>
        <v/>
      </c>
      <c r="N19" s="7">
        <f>IF(I19="ブランド共通","未確定(店舗非固有)",IF(I19="施設一般","未確定(施設一般値)",IF(I19="近隣求人欄","未確定(近隣欄からの抽出)",IF(I19="店舗非特定","未確定(店舗非特定)",IF(G19="","取得不能",IF(L19="割れ(旧掲載疑い)","未確定(最低賃金割れ)",IF(M19="不足","未確定(証拠不足)","媒体掲載値")))))))</f>
        <v/>
      </c>
      <c r="O19" s="7" t="inlineStr">
        <is>
          <t>2026-07-31</t>
        </is>
      </c>
      <c r="P19" s="8" t="inlineStr"/>
    </row>
    <row r="20">
      <c r="A20" s="7" t="n">
        <v>15</v>
      </c>
      <c r="B20" s="7" t="inlineStr">
        <is>
          <t>宗像店</t>
        </is>
      </c>
      <c r="C20" s="7" t="inlineStr">
        <is>
          <t>牛丼</t>
        </is>
      </c>
      <c r="D20" s="7" t="inlineStr">
        <is>
          <t>すき家 宗像赤間店</t>
        </is>
      </c>
      <c r="E20" s="8" t="inlineStr">
        <is>
          <t>福岡県宗像市赤間</t>
        </is>
      </c>
      <c r="F20" s="7" t="inlineStr">
        <is>
          <t>593</t>
        </is>
      </c>
      <c r="G20" s="7" t="n"/>
      <c r="H20" s="8" t="inlineStr">
        <is>
          <t>時給の記載を取得できず</t>
        </is>
      </c>
      <c r="I20" s="7" t="inlineStr">
        <is>
          <t>未取得</t>
        </is>
      </c>
      <c r="J20" s="8" t="inlineStr">
        <is>
          <t>https://jobs.sukiya.jp/shops/593</t>
        </is>
      </c>
      <c r="K20" s="7" t="n">
        <v>1057</v>
      </c>
      <c r="L20" s="7">
        <f>IF(G20="","-",IF(G20&lt;K20,"割れ(旧掲載疑い)","OK"))</f>
        <v/>
      </c>
      <c r="M20" s="7">
        <f>IF(AND(D20&lt;&gt;"",E20&lt;&gt;"",F20&lt;&gt;"",G20&lt;&gt;""),"充足","不足")</f>
        <v/>
      </c>
      <c r="N20" s="7">
        <f>IF(I20="ブランド共通","未確定(店舗非固有)",IF(I20="施設一般","未確定(施設一般値)",IF(I20="近隣求人欄","未確定(近隣欄からの抽出)",IF(I20="店舗非特定","未確定(店舗非特定)",IF(G20="","取得不能",IF(L20="割れ(旧掲載疑い)","未確定(最低賃金割れ)",IF(M20="不足","未確定(証拠不足)","媒体掲載値")))))))</f>
        <v/>
      </c>
      <c r="O20" s="7" t="inlineStr">
        <is>
          <t>2026-07-31</t>
        </is>
      </c>
      <c r="P20" s="8" t="inlineStr"/>
    </row>
    <row r="21">
      <c r="A21" s="9" t="n">
        <v>16</v>
      </c>
      <c r="B21" s="9" t="inlineStr">
        <is>
          <t>宗像店</t>
        </is>
      </c>
      <c r="C21" s="9" t="inlineStr">
        <is>
          <t>うどん(直接競合)</t>
        </is>
      </c>
      <c r="D21" s="9" t="inlineStr">
        <is>
          <t>うどんウエスト 宗像店</t>
        </is>
      </c>
      <c r="E21" s="10" t="inlineStr">
        <is>
          <t>福岡県宗像市</t>
        </is>
      </c>
      <c r="F21" s="9" t="inlineStr">
        <is>
          <t>store/62</t>
        </is>
      </c>
      <c r="G21" s="9" t="n"/>
      <c r="H21" s="10" t="inlineStr">
        <is>
          <t>店舗の時給掲載を取得できず</t>
        </is>
      </c>
      <c r="I21" s="9" t="inlineStr">
        <is>
          <t>未取得</t>
        </is>
      </c>
      <c r="J21" s="10" t="inlineStr">
        <is>
          <t>https://www.shop-west.jp/store/62.html</t>
        </is>
      </c>
      <c r="K21" s="9" t="n">
        <v>1057</v>
      </c>
      <c r="L21" s="9">
        <f>IF(G21="","-",IF(G21&lt;K21,"割れ(旧掲載疑い)","OK"))</f>
        <v/>
      </c>
      <c r="M21" s="9">
        <f>IF(AND(D21&lt;&gt;"",E21&lt;&gt;"",F21&lt;&gt;"",G21&lt;&gt;""),"充足","不足")</f>
        <v/>
      </c>
      <c r="N21" s="9">
        <f>IF(I21="ブランド共通","未確定(店舗非固有)",IF(I21="施設一般","未確定(施設一般値)",IF(I21="近隣求人欄","未確定(近隣欄からの抽出)",IF(I21="店舗非特定","未確定(店舗非特定)",IF(G21="","取得不能",IF(L21="割れ(旧掲載疑い)","未確定(最低賃金割れ)",IF(M21="不足","未確定(証拠不足)","媒体掲載値")))))))</f>
        <v/>
      </c>
      <c r="O21" s="9" t="inlineStr">
        <is>
          <t>2026-07-31</t>
        </is>
      </c>
      <c r="P21" s="10" t="inlineStr">
        <is>
          <t>★佐賀市の1,100円は別県の別店舗。使用しない</t>
        </is>
      </c>
    </row>
    <row r="22">
      <c r="A22" s="7" t="n">
        <v>17</v>
      </c>
      <c r="B22" s="7" t="inlineStr">
        <is>
          <t>菊陽店</t>
        </is>
      </c>
      <c r="C22" s="7" t="inlineStr">
        <is>
          <t>うどん(直接競合)</t>
        </is>
      </c>
      <c r="D22" s="7" t="inlineStr">
        <is>
          <t>丸亀製麺 ゆめタウン光の森店</t>
        </is>
      </c>
      <c r="E22" s="8" t="inlineStr">
        <is>
          <t>熊本県菊池郡菊陽町(JR光の森駅北口徒歩7分)</t>
        </is>
      </c>
      <c r="F22" s="7" t="inlineStr">
        <is>
          <t>A10701917410</t>
        </is>
      </c>
      <c r="G22" s="7" t="n">
        <v>1200</v>
      </c>
      <c r="H22" s="8" t="inlineStr">
        <is>
          <t>求人表示 1,200～1,500円／閉店作業 1,100円～／土曜+50円・日祝+100円</t>
        </is>
      </c>
      <c r="I22" s="7" t="inlineStr">
        <is>
          <t>店舗固有求人</t>
        </is>
      </c>
      <c r="J22" s="8" t="inlineStr">
        <is>
          <t>https://toridoll-job.com/toridoll02/A10701917410/MDkyujin_d.htm</t>
        </is>
      </c>
      <c r="K22" s="7" t="n">
        <v>1034</v>
      </c>
      <c r="L22" s="7">
        <f>IF(G22="","-",IF(G22&lt;K22,"割れ(旧掲載疑い)","OK"))</f>
        <v/>
      </c>
      <c r="M22" s="7">
        <f>IF(AND(D22&lt;&gt;"",E22&lt;&gt;"",F22&lt;&gt;"",G22&lt;&gt;""),"充足","不足")</f>
        <v/>
      </c>
      <c r="N22" s="7">
        <f>IF(I22="ブランド共通","未確定(店舗非固有)",IF(I22="施設一般","未確定(施設一般値)",IF(I22="近隣求人欄","未確定(近隣欄からの抽出)",IF(I22="店舗非特定","未確定(店舗非特定)",IF(G22="","取得不能",IF(L22="割れ(旧掲載疑い)","未確定(最低賃金割れ)",IF(M22="不足","未確定(証拠不足)","媒体掲載値")))))))</f>
        <v/>
      </c>
      <c r="O22" s="7" t="inlineStr">
        <is>
          <t>2026-07-31</t>
        </is>
      </c>
      <c r="P22" s="8" t="inlineStr"/>
    </row>
    <row r="23">
      <c r="A23" s="7" t="n">
        <v>18</v>
      </c>
      <c r="B23" s="7" t="inlineStr">
        <is>
          <t>菊陽店</t>
        </is>
      </c>
      <c r="C23" s="7" t="inlineStr">
        <is>
          <t>ファミレス</t>
        </is>
      </c>
      <c r="D23" s="7" t="inlineStr">
        <is>
          <t>ジョイフル 菊陽店</t>
        </is>
      </c>
      <c r="E23" s="8" t="inlineStr">
        <is>
          <t>熊本県菊池郡菊陽町</t>
        </is>
      </c>
      <c r="F23" s="7" t="inlineStr">
        <is>
          <t>job155176308</t>
        </is>
      </c>
      <c r="G23" s="7" t="n">
        <v>1084</v>
      </c>
      <c r="H23" s="8" t="inlineStr">
        <is>
          <t>9-15時 1,250円／15-18時 1,084円／18-22時 1,200円／22-0時 1,355円／0-9時 1,438円／高校生 1,084円</t>
        </is>
      </c>
      <c r="I23" s="7" t="inlineStr">
        <is>
          <t>店舗固有求人</t>
        </is>
      </c>
      <c r="J23" s="8" t="inlineStr">
        <is>
          <t>https://www.baitoru.com/kyushu/jlist/kumamoto/kumamotoshiigai/kikuchigun/job155176308/</t>
        </is>
      </c>
      <c r="K23" s="7" t="n">
        <v>1034</v>
      </c>
      <c r="L23" s="7">
        <f>IF(G23="","-",IF(G23&lt;K23,"割れ(旧掲載疑い)","OK"))</f>
        <v/>
      </c>
      <c r="M23" s="7">
        <f>IF(AND(D23&lt;&gt;"",E23&lt;&gt;"",F23&lt;&gt;"",G23&lt;&gt;""),"充足","不足")</f>
        <v/>
      </c>
      <c r="N23" s="7">
        <f>IF(I23="ブランド共通","未確定(店舗非固有)",IF(I23="施設一般","未確定(施設一般値)",IF(I23="近隣求人欄","未確定(近隣欄からの抽出)",IF(I23="店舗非特定","未確定(店舗非特定)",IF(G23="","取得不能",IF(L23="割れ(旧掲載疑い)","未確定(最低賃金割れ)",IF(M23="不足","未確定(証拠不足)","媒体掲載値")))))))</f>
        <v/>
      </c>
      <c r="O23" s="7" t="inlineStr">
        <is>
          <t>2026-07-31</t>
        </is>
      </c>
      <c r="P23" s="8" t="inlineStr"/>
    </row>
    <row r="24">
      <c r="A24" s="9" t="n">
        <v>19</v>
      </c>
      <c r="B24" s="9" t="inlineStr">
        <is>
          <t>菊陽店</t>
        </is>
      </c>
      <c r="C24" s="9" t="inlineStr">
        <is>
          <t>うどん(直接競合)</t>
        </is>
      </c>
      <c r="D24" s="9" t="inlineStr">
        <is>
          <t>うどんウエスト 菊陽光の森店</t>
        </is>
      </c>
      <c r="E24" s="10" t="inlineStr">
        <is>
          <t>熊本県菊池郡菊陽町光の森</t>
        </is>
      </c>
      <c r="F24" s="9" t="inlineStr">
        <is>
          <t>job158925669</t>
        </is>
      </c>
      <c r="G24" s="9" t="n">
        <v>900</v>
      </c>
      <c r="H24" s="10" t="inlineStr">
        <is>
          <t>うどんコーナー 900円～/950円～／深夜早朝 1,400円～／土日祝+50円</t>
        </is>
      </c>
      <c r="I24" s="9" t="inlineStr">
        <is>
          <t>店舗固有求人</t>
        </is>
      </c>
      <c r="J24" s="10" t="inlineStr">
        <is>
          <t>https://www.baitoru.com/kyushu/jlist/kumamoto/kumamotoshiigai/kikuchigun/job158925669/</t>
        </is>
      </c>
      <c r="K24" s="9" t="n">
        <v>1034</v>
      </c>
      <c r="L24" s="9">
        <f>IF(G24="","-",IF(G24&lt;K24,"割れ(旧掲載疑い)","OK"))</f>
        <v/>
      </c>
      <c r="M24" s="9">
        <f>IF(AND(D24&lt;&gt;"",E24&lt;&gt;"",F24&lt;&gt;"",G24&lt;&gt;""),"充足","不足")</f>
        <v/>
      </c>
      <c r="N24" s="9">
        <f>IF(I24="ブランド共通","未確定(店舗非固有)",IF(I24="施設一般","未確定(施設一般値)",IF(I24="近隣求人欄","未確定(近隣欄からの抽出)",IF(I24="店舗非特定","未確定(店舗非特定)",IF(G24="","取得不能",IF(L24="割れ(旧掲載疑い)","未確定(最低賃金割れ)",IF(M24="不足","未確定(証拠不足)","媒体掲載値")))))))</f>
        <v/>
      </c>
      <c r="O24" s="9" t="inlineStr">
        <is>
          <t>2026-07-31</t>
        </is>
      </c>
      <c r="P24" s="10" t="inlineStr">
        <is>
          <t>★熊本県最低賃金1,034円を大きく下回る=2026-01-01改定前の旧掲載。実額とみなせない</t>
        </is>
      </c>
    </row>
    <row r="25">
      <c r="A25" s="9" t="n">
        <v>20</v>
      </c>
      <c r="B25" s="9" t="inlineStr">
        <is>
          <t>菊陽店</t>
        </is>
      </c>
      <c r="C25" s="9" t="inlineStr">
        <is>
          <t>ファストフード</t>
        </is>
      </c>
      <c r="D25" s="9" t="inlineStr">
        <is>
          <t>マクドナルド 光の森ゆめタウン店</t>
        </is>
      </c>
      <c r="E25" s="10" t="inlineStr">
        <is>
          <t>熊本県菊池郡菊陽町光の森7-33-1</t>
        </is>
      </c>
      <c r="F25" s="9" t="inlineStr">
        <is>
          <t>43542</t>
        </is>
      </c>
      <c r="G25" s="9" t="n">
        <v>1040</v>
      </c>
      <c r="H25" s="10" t="inlineStr">
        <is>
          <t>熊本県内一般として1,040円～、深夜1,250円と表示</t>
        </is>
      </c>
      <c r="I25" s="9" t="inlineStr">
        <is>
          <t>ブランド共通</t>
        </is>
      </c>
      <c r="J25" s="10" t="inlineStr">
        <is>
          <t>https://crewrecruiting.mcdonalds.co.jp/map/43542</t>
        </is>
      </c>
      <c r="K25" s="9" t="n">
        <v>1034</v>
      </c>
      <c r="L25" s="9">
        <f>IF(G25="","-",IF(G25&lt;K25,"割れ(旧掲載疑い)","OK"))</f>
        <v/>
      </c>
      <c r="M25" s="9">
        <f>IF(AND(D25&lt;&gt;"",E25&lt;&gt;"",F25&lt;&gt;"",G25&lt;&gt;""),"充足","不足")</f>
        <v/>
      </c>
      <c r="N25" s="9">
        <f>IF(I25="ブランド共通","未確定(店舗非固有)",IF(I25="施設一般","未確定(施設一般値)",IF(I25="近隣求人欄","未確定(近隣欄からの抽出)",IF(I25="店舗非特定","未確定(店舗非特定)",IF(G25="","取得不能",IF(L25="割れ(旧掲載疑い)","未確定(最低賃金割れ)",IF(M25="不足","未確定(証拠不足)","媒体掲載値")))))))</f>
        <v/>
      </c>
      <c r="O25" s="9" t="inlineStr">
        <is>
          <t>2026-07-31</t>
        </is>
      </c>
      <c r="P25" s="10" t="inlineStr">
        <is>
          <t>★県内一般の1,040円～は別店舗の値。使用しない</t>
        </is>
      </c>
    </row>
    <row r="26">
      <c r="A26" s="7" t="n">
        <v>21</v>
      </c>
      <c r="B26" s="7" t="inlineStr">
        <is>
          <t>鳥栖真木店</t>
        </is>
      </c>
      <c r="C26" s="7" t="inlineStr">
        <is>
          <t>ファミレス</t>
        </is>
      </c>
      <c r="D26" s="7" t="inlineStr">
        <is>
          <t>ジョイフル 鳥栖中央店</t>
        </is>
      </c>
      <c r="E26" s="8" t="inlineStr">
        <is>
          <t>佐賀県鳥栖市</t>
        </is>
      </c>
      <c r="F26" s="7" t="inlineStr">
        <is>
          <t>job156010261</t>
        </is>
      </c>
      <c r="G26" s="7" t="n">
        <v>1200</v>
      </c>
      <c r="H26" s="8" t="inlineStr">
        <is>
          <t>求人表示 1,200～1,450円</t>
        </is>
      </c>
      <c r="I26" s="7" t="inlineStr">
        <is>
          <t>店舗固有求人</t>
        </is>
      </c>
      <c r="J26" s="8" t="inlineStr">
        <is>
          <t>https://www.baitoru.com/kyushu/jlist/saga/tosushi/job156010261/</t>
        </is>
      </c>
      <c r="K26" s="7" t="n">
        <v>1030</v>
      </c>
      <c r="L26" s="7">
        <f>IF(G26="","-",IF(G26&lt;K26,"割れ(旧掲載疑い)","OK"))</f>
        <v/>
      </c>
      <c r="M26" s="7">
        <f>IF(AND(D26&lt;&gt;"",E26&lt;&gt;"",F26&lt;&gt;"",G26&lt;&gt;""),"充足","不足")</f>
        <v/>
      </c>
      <c r="N26" s="7">
        <f>IF(I26="ブランド共通","未確定(店舗非固有)",IF(I26="施設一般","未確定(施設一般値)",IF(I26="近隣求人欄","未確定(近隣欄からの抽出)",IF(I26="店舗非特定","未確定(店舗非特定)",IF(G26="","取得不能",IF(L26="割れ(旧掲載疑い)","未確定(最低賃金割れ)",IF(M26="不足","未確定(証拠不足)","媒体掲載値")))))))</f>
        <v/>
      </c>
      <c r="O26" s="7" t="inlineStr">
        <is>
          <t>2026-07-31</t>
        </is>
      </c>
      <c r="P26" s="8" t="inlineStr"/>
    </row>
    <row r="27">
      <c r="A27" s="9" t="n">
        <v>22</v>
      </c>
      <c r="B27" s="9" t="inlineStr">
        <is>
          <t>鳥栖真木店</t>
        </is>
      </c>
      <c r="C27" s="9" t="inlineStr">
        <is>
          <t>うどん(直接競合)</t>
        </is>
      </c>
      <c r="D27" s="9" t="inlineStr">
        <is>
          <t>丸亀製麺 鳥栖店</t>
        </is>
      </c>
      <c r="E27" s="10" t="inlineStr">
        <is>
          <t>佐賀県鳥栖市</t>
        </is>
      </c>
      <c r="F27" s="9" t="inlineStr">
        <is>
          <t>A10701916420</t>
        </is>
      </c>
      <c r="G27" s="9" t="n">
        <v>980</v>
      </c>
      <c r="H27" s="10" t="inlineStr">
        <is>
          <t>開店準備・仕込みスタッフ 980円～(高校生同額)</t>
        </is>
      </c>
      <c r="I27" s="9" t="inlineStr">
        <is>
          <t>店舗固有求人</t>
        </is>
      </c>
      <c r="J27" s="10" t="inlineStr">
        <is>
          <t>https://toridoll-job.com/toridoll02/A10701916420/MDkyujin_d.htm</t>
        </is>
      </c>
      <c r="K27" s="9" t="n">
        <v>1030</v>
      </c>
      <c r="L27" s="9">
        <f>IF(G27="","-",IF(G27&lt;K27,"割れ(旧掲載疑い)","OK"))</f>
        <v/>
      </c>
      <c r="M27" s="9">
        <f>IF(AND(D27&lt;&gt;"",E27&lt;&gt;"",F27&lt;&gt;"",G27&lt;&gt;""),"充足","不足")</f>
        <v/>
      </c>
      <c r="N27" s="9">
        <f>IF(I27="ブランド共通","未確定(店舗非固有)",IF(I27="施設一般","未確定(施設一般値)",IF(I27="近隣求人欄","未確定(近隣欄からの抽出)",IF(I27="店舗非特定","未確定(店舗非特定)",IF(G27="","取得不能",IF(L27="割れ(旧掲載疑い)","未確定(最低賃金割れ)",IF(M27="不足","未確定(証拠不足)","媒体掲載値")))))))</f>
        <v/>
      </c>
      <c r="O27" s="9" t="inlineStr">
        <is>
          <t>2026-07-31</t>
        </is>
      </c>
      <c r="P27" s="10" t="inlineStr">
        <is>
          <t>★佐賀県最低賃金1,030円を下回る=旧掲載。かつ職種限定(仕込み)で通常ホールの値ではない</t>
        </is>
      </c>
    </row>
    <row r="28">
      <c r="A28" s="7" t="n">
        <v>23</v>
      </c>
      <c r="B28" s="7" t="inlineStr">
        <is>
          <t>鳥栖真木店</t>
        </is>
      </c>
      <c r="C28" s="7" t="inlineStr">
        <is>
          <t>ファストフード</t>
        </is>
      </c>
      <c r="D28" s="7" t="inlineStr">
        <is>
          <t>マクドナルド 鳥栖フレスポ店</t>
        </is>
      </c>
      <c r="E28" s="8" t="inlineStr">
        <is>
          <t>佐賀県鳥栖市</t>
        </is>
      </c>
      <c r="F28" s="7" t="inlineStr">
        <is>
          <t>41505</t>
        </is>
      </c>
      <c r="G28" s="7" t="n"/>
      <c r="H28" s="8" t="inlineStr">
        <is>
          <t>時給の記載を取得できず</t>
        </is>
      </c>
      <c r="I28" s="7" t="inlineStr">
        <is>
          <t>未取得</t>
        </is>
      </c>
      <c r="J28" s="8" t="inlineStr">
        <is>
          <t>https://crewrecruiting.mcdonalds.co.jp/map/41505</t>
        </is>
      </c>
      <c r="K28" s="7" t="n">
        <v>1030</v>
      </c>
      <c r="L28" s="7">
        <f>IF(G28="","-",IF(G28&lt;K28,"割れ(旧掲載疑い)","OK"))</f>
        <v/>
      </c>
      <c r="M28" s="7">
        <f>IF(AND(D28&lt;&gt;"",E28&lt;&gt;"",F28&lt;&gt;"",G28&lt;&gt;""),"充足","不足")</f>
        <v/>
      </c>
      <c r="N28" s="7">
        <f>IF(I28="ブランド共通","未確定(店舗非固有)",IF(I28="施設一般","未確定(施設一般値)",IF(I28="近隣求人欄","未確定(近隣欄からの抽出)",IF(I28="店舗非特定","未確定(店舗非特定)",IF(G28="","取得不能",IF(L28="割れ(旧掲載疑い)","未確定(最低賃金割れ)",IF(M28="不足","未確定(証拠不足)","媒体掲載値")))))))</f>
        <v/>
      </c>
      <c r="O28" s="7" t="inlineStr">
        <is>
          <t>2026-07-31</t>
        </is>
      </c>
      <c r="P28" s="8" t="inlineStr"/>
    </row>
    <row r="29">
      <c r="A29" s="7" t="n">
        <v>24</v>
      </c>
      <c r="B29" s="7" t="inlineStr">
        <is>
          <t>鳥栖真木店</t>
        </is>
      </c>
      <c r="C29" s="7" t="inlineStr">
        <is>
          <t>焼肉</t>
        </is>
      </c>
      <c r="D29" s="7" t="inlineStr">
        <is>
          <t>ウエスト 焼肉 鳥栖店</t>
        </is>
      </c>
      <c r="E29" s="8" t="inlineStr">
        <is>
          <t>佐賀県鳥栖市</t>
        </is>
      </c>
      <c r="F29" s="7" t="inlineStr">
        <is>
          <t>043-06</t>
        </is>
      </c>
      <c r="G29" s="7" t="n"/>
      <c r="H29" s="8" t="inlineStr">
        <is>
          <t>時給の記載を取得できず</t>
        </is>
      </c>
      <c r="I29" s="7" t="inlineStr">
        <is>
          <t>未取得</t>
        </is>
      </c>
      <c r="J29" s="8" t="inlineStr">
        <is>
          <t>https://baito.mynavi.jp/cl-002555807358/job-109509242/</t>
        </is>
      </c>
      <c r="K29" s="7" t="n">
        <v>1030</v>
      </c>
      <c r="L29" s="7">
        <f>IF(G29="","-",IF(G29&lt;K29,"割れ(旧掲載疑い)","OK"))</f>
        <v/>
      </c>
      <c r="M29" s="7">
        <f>IF(AND(D29&lt;&gt;"",E29&lt;&gt;"",F29&lt;&gt;"",G29&lt;&gt;""),"充足","不足")</f>
        <v/>
      </c>
      <c r="N29" s="7">
        <f>IF(I29="ブランド共通","未確定(店舗非固有)",IF(I29="施設一般","未確定(施設一般値)",IF(I29="近隣求人欄","未確定(近隣欄からの抽出)",IF(I29="店舗非特定","未確定(店舗非特定)",IF(G29="","取得不能",IF(L29="割れ(旧掲載疑い)","未確定(最低賃金割れ)",IF(M29="不足","未確定(証拠不足)","媒体掲載値")))))))</f>
        <v/>
      </c>
      <c r="O29" s="7" t="inlineStr">
        <is>
          <t>2026-07-31</t>
        </is>
      </c>
      <c r="P29" s="8" t="inlineStr"/>
    </row>
    <row r="30">
      <c r="A30" s="7" t="n">
        <v>25</v>
      </c>
      <c r="B30" s="7" t="inlineStr">
        <is>
          <t>佐賀兵庫店</t>
        </is>
      </c>
      <c r="C30" s="7" t="inlineStr">
        <is>
          <t>うどん(直接競合)</t>
        </is>
      </c>
      <c r="D30" s="7" t="inlineStr">
        <is>
          <t>うどんウエスト 佐賀光法店</t>
        </is>
      </c>
      <c r="E30" s="8" t="inlineStr">
        <is>
          <t>佐賀県佐賀市光法</t>
        </is>
      </c>
      <c r="F30" s="7" t="inlineStr">
        <is>
          <t>job84382253</t>
        </is>
      </c>
      <c r="G30" s="7" t="n">
        <v>1150</v>
      </c>
      <c r="H30" s="8" t="inlineStr">
        <is>
          <t>うどんコーナー 1,150円～／高校生 1,030円～</t>
        </is>
      </c>
      <c r="I30" s="7" t="inlineStr">
        <is>
          <t>店舗固有求人</t>
        </is>
      </c>
      <c r="J30" s="8" t="inlineStr">
        <is>
          <t>https://www.baitoru.com/kyushu/jlist/saga/sagashi/job84382253/</t>
        </is>
      </c>
      <c r="K30" s="7" t="n">
        <v>1030</v>
      </c>
      <c r="L30" s="7">
        <f>IF(G30="","-",IF(G30&lt;K30,"割れ(旧掲載疑い)","OK"))</f>
        <v/>
      </c>
      <c r="M30" s="7">
        <f>IF(AND(D30&lt;&gt;"",E30&lt;&gt;"",F30&lt;&gt;"",G30&lt;&gt;""),"充足","不足")</f>
        <v/>
      </c>
      <c r="N30" s="7">
        <f>IF(I30="ブランド共通","未確定(店舗非固有)",IF(I30="施設一般","未確定(施設一般値)",IF(I30="近隣求人欄","未確定(近隣欄からの抽出)",IF(I30="店舗非特定","未確定(店舗非特定)",IF(G30="","取得不能",IF(L30="割れ(旧掲載疑い)","未確定(最低賃金割れ)",IF(M30="不足","未確定(証拠不足)","媒体掲載値")))))))</f>
        <v/>
      </c>
      <c r="O30" s="7" t="inlineStr">
        <is>
          <t>2026-07-31</t>
        </is>
      </c>
      <c r="P30" s="8" t="inlineStr">
        <is>
          <t>兵庫町ではなく佐賀市光法。距離は未計測</t>
        </is>
      </c>
    </row>
    <row r="31">
      <c r="A31" s="7" t="n">
        <v>26</v>
      </c>
      <c r="B31" s="7" t="inlineStr">
        <is>
          <t>佐賀兵庫店</t>
        </is>
      </c>
      <c r="C31" s="7" t="inlineStr">
        <is>
          <t>商業施設内飲食</t>
        </is>
      </c>
      <c r="D31" s="7" t="inlineStr">
        <is>
          <t>天麩羅こむぎ モラージュ佐賀</t>
        </is>
      </c>
      <c r="E31" s="8" t="inlineStr">
        <is>
          <t>佐賀県佐賀市巨勢町(モラージュ佐賀)</t>
        </is>
      </c>
      <c r="F31" s="7" t="inlineStr"/>
      <c r="G31" s="7" t="n">
        <v>1050</v>
      </c>
      <c r="H31" s="8" t="inlineStr">
        <is>
          <t>1,050円以上／高校生可</t>
        </is>
      </c>
      <c r="I31" s="7" t="inlineStr">
        <is>
          <t>店舗固有求人</t>
        </is>
      </c>
      <c r="J31" s="8" t="inlineStr">
        <is>
          <t>https://townwork.net/job_search/kw/%E3%83%A2%E3%83%A9%E3%83%BC%E3%82%B8%E3%83%A5+%E3%83%90%E3%82%A4%E3%83%88+%E4%BD%90%E8%B3%80%E7%9C%8C+%E4%BD%90%E8%B3%80%E5%B8%82/</t>
        </is>
      </c>
      <c r="K31" s="7" t="n">
        <v>1030</v>
      </c>
      <c r="L31" s="7">
        <f>IF(G31="","-",IF(G31&lt;K31,"割れ(旧掲載疑い)","OK"))</f>
        <v/>
      </c>
      <c r="M31" s="7">
        <f>IF(AND(D31&lt;&gt;"",E31&lt;&gt;"",F31&lt;&gt;"",G31&lt;&gt;""),"充足","不足")</f>
        <v/>
      </c>
      <c r="N31" s="7">
        <f>IF(I31="ブランド共通","未確定(店舗非固有)",IF(I31="施設一般","未確定(施設一般値)",IF(I31="近隣求人欄","未確定(近隣欄からの抽出)",IF(I31="店舗非特定","未確定(店舗非特定)",IF(G31="","取得不能",IF(L31="割れ(旧掲載疑い)","未確定(最低賃金割れ)",IF(M31="不足","未確定(証拠不足)","媒体掲載値")))))))</f>
        <v/>
      </c>
      <c r="O31" s="7" t="inlineStr">
        <is>
          <t>2026-07-31</t>
        </is>
      </c>
      <c r="P31" s="8" t="inlineStr"/>
    </row>
    <row r="32">
      <c r="A32" s="9" t="n">
        <v>27</v>
      </c>
      <c r="B32" s="9" t="inlineStr">
        <is>
          <t>佐賀兵庫店</t>
        </is>
      </c>
      <c r="C32" s="9" t="inlineStr">
        <is>
          <t>うどん(直接競合)</t>
        </is>
      </c>
      <c r="D32" s="9" t="inlineStr">
        <is>
          <t>丸亀製麺 佐賀店</t>
        </is>
      </c>
      <c r="E32" s="10" t="inlineStr">
        <is>
          <t>佐賀県佐賀市</t>
        </is>
      </c>
      <c r="F32" s="9" t="inlineStr">
        <is>
          <t>A10701917124</t>
        </is>
      </c>
      <c r="G32" s="9" t="n">
        <v>1000</v>
      </c>
      <c r="H32" s="10" t="inlineStr">
        <is>
          <t>ホールスタッフ 1,000円～／22時以降25%UP</t>
        </is>
      </c>
      <c r="I32" s="9" t="inlineStr">
        <is>
          <t>店舗固有求人</t>
        </is>
      </c>
      <c r="J32" s="10" t="inlineStr">
        <is>
          <t>https://toridoll-job.com/toridoll02/A10701917124/MDkyujin_d.htm</t>
        </is>
      </c>
      <c r="K32" s="9" t="n">
        <v>1030</v>
      </c>
      <c r="L32" s="9">
        <f>IF(G32="","-",IF(G32&lt;K32,"割れ(旧掲載疑い)","OK"))</f>
        <v/>
      </c>
      <c r="M32" s="9">
        <f>IF(AND(D32&lt;&gt;"",E32&lt;&gt;"",F32&lt;&gt;"",G32&lt;&gt;""),"充足","不足")</f>
        <v/>
      </c>
      <c r="N32" s="9">
        <f>IF(I32="ブランド共通","未確定(店舗非固有)",IF(I32="施設一般","未確定(施設一般値)",IF(I32="近隣求人欄","未確定(近隣欄からの抽出)",IF(I32="店舗非特定","未確定(店舗非特定)",IF(G32="","取得不能",IF(L32="割れ(旧掲載疑い)","未確定(最低賃金割れ)",IF(M32="不足","未確定(証拠不足)","媒体掲載値")))))))</f>
        <v/>
      </c>
      <c r="O32" s="9" t="inlineStr">
        <is>
          <t>2026-07-31</t>
        </is>
      </c>
      <c r="P32" s="10" t="inlineStr">
        <is>
          <t>★佐賀県最低賃金1,030円を下回る=旧掲載</t>
        </is>
      </c>
    </row>
    <row r="33">
      <c r="A33" s="7" t="n">
        <v>28</v>
      </c>
      <c r="B33" s="7" t="inlineStr">
        <is>
          <t>佐賀兵庫店</t>
        </is>
      </c>
      <c r="C33" s="7" t="inlineStr">
        <is>
          <t>ファストフード</t>
        </is>
      </c>
      <c r="D33" s="7" t="inlineStr">
        <is>
          <t>ロッテリア モラージュ佐賀店</t>
        </is>
      </c>
      <c r="E33" s="8" t="inlineStr">
        <is>
          <t>佐賀県佐賀市(モラージュ佐賀)</t>
        </is>
      </c>
      <c r="F33" s="7" t="inlineStr">
        <is>
          <t>1092</t>
        </is>
      </c>
      <c r="G33" s="7" t="n"/>
      <c r="H33" s="8" t="inlineStr">
        <is>
          <t>時給の記載を取得できず</t>
        </is>
      </c>
      <c r="I33" s="7" t="inlineStr">
        <is>
          <t>未取得</t>
        </is>
      </c>
      <c r="J33" s="8" t="inlineStr">
        <is>
          <t>https://lotteria-arbeit.net/jobfind-pc/job/All/1092</t>
        </is>
      </c>
      <c r="K33" s="7" t="n">
        <v>1030</v>
      </c>
      <c r="L33" s="7">
        <f>IF(G33="","-",IF(G33&lt;K33,"割れ(旧掲載疑い)","OK"))</f>
        <v/>
      </c>
      <c r="M33" s="7">
        <f>IF(AND(D33&lt;&gt;"",E33&lt;&gt;"",F33&lt;&gt;"",G33&lt;&gt;""),"充足","不足")</f>
        <v/>
      </c>
      <c r="N33" s="7">
        <f>IF(I33="ブランド共通","未確定(店舗非固有)",IF(I33="施設一般","未確定(施設一般値)",IF(I33="近隣求人欄","未確定(近隣欄からの抽出)",IF(I33="店舗非特定","未確定(店舗非特定)",IF(G33="","取得不能",IF(L33="割れ(旧掲載疑い)","未確定(最低賃金割れ)",IF(M33="不足","未確定(証拠不足)","媒体掲載値")))))))</f>
        <v/>
      </c>
      <c r="O33" s="7" t="inlineStr">
        <is>
          <t>2026-07-31</t>
        </is>
      </c>
      <c r="P33" s="8" t="inlineStr"/>
    </row>
    <row r="34">
      <c r="A34" s="7" t="n">
        <v>29</v>
      </c>
      <c r="B34" s="7" t="inlineStr">
        <is>
          <t>宮崎阿波岐原店</t>
        </is>
      </c>
      <c r="C34" s="7" t="inlineStr">
        <is>
          <t>うどん(直接競合)</t>
        </is>
      </c>
      <c r="D34" s="7" t="inlineStr">
        <is>
          <t>丸亀製麺 イオンモール宮崎店</t>
        </is>
      </c>
      <c r="E34" s="8" t="inlineStr">
        <is>
          <t>宮崎県宮崎市(イオンモール宮崎)</t>
        </is>
      </c>
      <c r="F34" s="7" t="inlineStr">
        <is>
          <t>AC0121911288</t>
        </is>
      </c>
      <c r="G34" s="7" t="n">
        <v>1100</v>
      </c>
      <c r="H34" s="8" t="inlineStr">
        <is>
          <t>1,100円～／12/31・1/2・1/3は+200円、1/1は+300円</t>
        </is>
      </c>
      <c r="I34" s="7" t="inlineStr">
        <is>
          <t>店舗固有求人</t>
        </is>
      </c>
      <c r="J34" s="8" t="inlineStr">
        <is>
          <t>https://toridoll-job.com/toridoll02/AC0121911288/MDkyujin_d.htm</t>
        </is>
      </c>
      <c r="K34" s="7" t="n">
        <v>1023</v>
      </c>
      <c r="L34" s="7">
        <f>IF(G34="","-",IF(G34&lt;K34,"割れ(旧掲載疑い)","OK"))</f>
        <v/>
      </c>
      <c r="M34" s="7">
        <f>IF(AND(D34&lt;&gt;"",E34&lt;&gt;"",F34&lt;&gt;"",G34&lt;&gt;""),"充足","不足")</f>
        <v/>
      </c>
      <c r="N34" s="7">
        <f>IF(I34="ブランド共通","未確定(店舗非固有)",IF(I34="施設一般","未確定(施設一般値)",IF(I34="近隣求人欄","未確定(近隣欄からの抽出)",IF(I34="店舗非特定","未確定(店舗非特定)",IF(G34="","取得不能",IF(L34="割れ(旧掲載疑い)","未確定(最低賃金割れ)",IF(M34="不足","未確定(証拠不足)","媒体掲載値")))))))</f>
        <v/>
      </c>
      <c r="O34" s="7" t="inlineStr">
        <is>
          <t>2026-07-31</t>
        </is>
      </c>
      <c r="P34" s="8" t="inlineStr"/>
    </row>
    <row r="35">
      <c r="A35" s="7" t="n">
        <v>30</v>
      </c>
      <c r="B35" s="7" t="inlineStr">
        <is>
          <t>宮崎阿波岐原店</t>
        </is>
      </c>
      <c r="C35" s="7" t="inlineStr">
        <is>
          <t>ファミレス</t>
        </is>
      </c>
      <c r="D35" s="7" t="inlineStr">
        <is>
          <t>ジョイフル 宮崎田野店</t>
        </is>
      </c>
      <c r="E35" s="8" t="inlineStr">
        <is>
          <t>宮崎県宮崎市田野町</t>
        </is>
      </c>
      <c r="F35" s="7" t="inlineStr">
        <is>
          <t>job-131030808</t>
        </is>
      </c>
      <c r="G35" s="7" t="n">
        <v>1073</v>
      </c>
      <c r="H35" s="8" t="inlineStr">
        <is>
          <t>求人表示 1,073～1,467円／日祝+50円</t>
        </is>
      </c>
      <c r="I35" s="7" t="inlineStr">
        <is>
          <t>店舗固有求人</t>
        </is>
      </c>
      <c r="J35" s="8" t="inlineStr">
        <is>
          <t>https://baito.mynavi.jp/cl-002216705350/job-131030808/</t>
        </is>
      </c>
      <c r="K35" s="7" t="n">
        <v>1023</v>
      </c>
      <c r="L35" s="7">
        <f>IF(G35="","-",IF(G35&lt;K35,"割れ(旧掲載疑い)","OK"))</f>
        <v/>
      </c>
      <c r="M35" s="7">
        <f>IF(AND(D35&lt;&gt;"",E35&lt;&gt;"",F35&lt;&gt;"",G35&lt;&gt;""),"充足","不足")</f>
        <v/>
      </c>
      <c r="N35" s="7">
        <f>IF(I35="ブランド共通","未確定(店舗非固有)",IF(I35="施設一般","未確定(施設一般値)",IF(I35="近隣求人欄","未確定(近隣欄からの抽出)",IF(I35="店舗非特定","未確定(店舗非特定)",IF(G35="","取得不能",IF(L35="割れ(旧掲載疑い)","未確定(最低賃金割れ)",IF(M35="不足","未確定(証拠不足)","媒体掲載値")))))))</f>
        <v/>
      </c>
      <c r="O35" s="7" t="inlineStr">
        <is>
          <t>2026-07-31</t>
        </is>
      </c>
      <c r="P35" s="8" t="inlineStr">
        <is>
          <t>田野町は市南部。阿波岐原からは遠く同一商圏か要確認</t>
        </is>
      </c>
    </row>
    <row r="36">
      <c r="A36" s="9" t="n">
        <v>31</v>
      </c>
      <c r="B36" s="9" t="inlineStr">
        <is>
          <t>宮崎阿波岐原店</t>
        </is>
      </c>
      <c r="C36" s="9" t="inlineStr">
        <is>
          <t>うどん(直接競合)</t>
        </is>
      </c>
      <c r="D36" s="9" t="inlineStr">
        <is>
          <t>丸亀製麺 宮崎住吉店</t>
        </is>
      </c>
      <c r="E36" s="10" t="inlineStr">
        <is>
          <t>宮崎県宮崎市住吉</t>
        </is>
      </c>
      <c r="F36" s="9" t="inlineStr">
        <is>
          <t>A91031990530</t>
        </is>
      </c>
      <c r="G36" s="9" t="n">
        <v>1000</v>
      </c>
      <c r="H36" s="10" t="inlineStr">
        <is>
          <t>1,000円～／22時以降25%UP</t>
        </is>
      </c>
      <c r="I36" s="9" t="inlineStr">
        <is>
          <t>店舗固有求人</t>
        </is>
      </c>
      <c r="J36" s="10" t="inlineStr">
        <is>
          <t>https://toridoll-job.com/toridoll02/A91031990530/MDkyujin_d.htm</t>
        </is>
      </c>
      <c r="K36" s="9" t="n">
        <v>1023</v>
      </c>
      <c r="L36" s="9">
        <f>IF(G36="","-",IF(G36&lt;K36,"割れ(旧掲載疑い)","OK"))</f>
        <v/>
      </c>
      <c r="M36" s="9">
        <f>IF(AND(D36&lt;&gt;"",E36&lt;&gt;"",F36&lt;&gt;"",G36&lt;&gt;""),"充足","不足")</f>
        <v/>
      </c>
      <c r="N36" s="9">
        <f>IF(I36="ブランド共通","未確定(店舗非固有)",IF(I36="施設一般","未確定(施設一般値)",IF(I36="近隣求人欄","未確定(近隣欄からの抽出)",IF(I36="店舗非特定","未確定(店舗非特定)",IF(G36="","取得不能",IF(L36="割れ(旧掲載疑い)","未確定(最低賃金割れ)",IF(M36="不足","未確定(証拠不足)","媒体掲載値")))))))</f>
        <v/>
      </c>
      <c r="O36" s="9" t="inlineStr">
        <is>
          <t>2026-07-31</t>
        </is>
      </c>
      <c r="P36" s="10" t="inlineStr">
        <is>
          <t>★宮崎県最低賃金1,023円を下回る=旧掲載</t>
        </is>
      </c>
    </row>
    <row r="37">
      <c r="A37" s="9" t="n">
        <v>32</v>
      </c>
      <c r="B37" s="9" t="inlineStr">
        <is>
          <t>宮崎阿波岐原店</t>
        </is>
      </c>
      <c r="C37" s="9" t="inlineStr">
        <is>
          <t>うどん(直接競合)</t>
        </is>
      </c>
      <c r="D37" s="9" t="inlineStr">
        <is>
          <t>丸亀製麺 宮崎店</t>
        </is>
      </c>
      <c r="E37" s="10" t="inlineStr">
        <is>
          <t>宮崎県宮崎市</t>
        </is>
      </c>
      <c r="F37" s="9" t="inlineStr">
        <is>
          <t>A10701916440</t>
        </is>
      </c>
      <c r="G37" s="9" t="n">
        <v>950</v>
      </c>
      <c r="H37" s="10" t="inlineStr">
        <is>
          <t>開店準備・仕込みスタッフ 950円～</t>
        </is>
      </c>
      <c r="I37" s="9" t="inlineStr">
        <is>
          <t>店舗固有求人</t>
        </is>
      </c>
      <c r="J37" s="10" t="inlineStr">
        <is>
          <t>https://toridoll-job.com/toridoll02/A10701916440/MDkyujin_d.htm</t>
        </is>
      </c>
      <c r="K37" s="9" t="n">
        <v>1023</v>
      </c>
      <c r="L37" s="9">
        <f>IF(G37="","-",IF(G37&lt;K37,"割れ(旧掲載疑い)","OK"))</f>
        <v/>
      </c>
      <c r="M37" s="9">
        <f>IF(AND(D37&lt;&gt;"",E37&lt;&gt;"",F37&lt;&gt;"",G37&lt;&gt;""),"充足","不足")</f>
        <v/>
      </c>
      <c r="N37" s="9">
        <f>IF(I37="ブランド共通","未確定(店舗非固有)",IF(I37="施設一般","未確定(施設一般値)",IF(I37="近隣求人欄","未確定(近隣欄からの抽出)",IF(I37="店舗非特定","未確定(店舗非特定)",IF(G37="","取得不能",IF(L37="割れ(旧掲載疑い)","未確定(最低賃金割れ)",IF(M37="不足","未確定(証拠不足)","媒体掲載値")))))))</f>
        <v/>
      </c>
      <c r="O37" s="9" t="inlineStr">
        <is>
          <t>2026-07-31</t>
        </is>
      </c>
      <c r="P37" s="10" t="inlineStr">
        <is>
          <t>★最低賃金割れ かつ職種限定</t>
        </is>
      </c>
    </row>
    <row r="38">
      <c r="A38" s="9" t="n">
        <v>33</v>
      </c>
      <c r="B38" s="9" t="inlineStr">
        <is>
          <t>宮崎阿波岐原店</t>
        </is>
      </c>
      <c r="C38" s="9" t="inlineStr">
        <is>
          <t>牛丼</t>
        </is>
      </c>
      <c r="D38" s="9" t="inlineStr">
        <is>
          <t>すき家(宮崎市内)</t>
        </is>
      </c>
      <c r="E38" s="10" t="inlineStr"/>
      <c r="F38" s="9" t="inlineStr"/>
      <c r="G38" s="9" t="n">
        <v>1080</v>
      </c>
      <c r="H38" s="10" t="inlineStr">
        <is>
          <t>高校生1,023円／深夜1,350円／早朝+150円／通常1,080円～。新別府店・大島店・郡司分店が混在</t>
        </is>
      </c>
      <c r="I38" s="9" t="inlineStr">
        <is>
          <t>店舗非特定</t>
        </is>
      </c>
      <c r="J38" s="10" t="inlineStr">
        <is>
          <t>https://work.sukiya.jp/brand-jobfind/job/All/32871</t>
        </is>
      </c>
      <c r="K38" s="9" t="n">
        <v>1023</v>
      </c>
      <c r="L38" s="9">
        <f>IF(G38="","-",IF(G38&lt;K38,"割れ(旧掲載疑い)","OK"))</f>
        <v/>
      </c>
      <c r="M38" s="9">
        <f>IF(AND(D38&lt;&gt;"",E38&lt;&gt;"",F38&lt;&gt;"",G38&lt;&gt;""),"充足","不足")</f>
        <v/>
      </c>
      <c r="N38" s="9">
        <f>IF(I38="ブランド共通","未確定(店舗非固有)",IF(I38="施設一般","未確定(施設一般値)",IF(I38="近隣求人欄","未確定(近隣欄からの抽出)",IF(I38="店舗非特定","未確定(店舗非特定)",IF(G38="","取得不能",IF(L38="割れ(旧掲載疑い)","未確定(最低賃金割れ)",IF(M38="不足","未確定(証拠不足)","媒体掲載値")))))))</f>
        <v/>
      </c>
      <c r="O38" s="9" t="inlineStr">
        <is>
          <t>2026-07-31</t>
        </is>
      </c>
      <c r="P38" s="10" t="inlineStr">
        <is>
          <t>★複数店舗の値が混在し、どの店舗の1,080円か特定できない。採用しない</t>
        </is>
      </c>
    </row>
    <row r="39">
      <c r="A39" s="9" t="n">
        <v>34</v>
      </c>
      <c r="B39" s="9" t="inlineStr">
        <is>
          <t>宮崎阿波岐原店</t>
        </is>
      </c>
      <c r="C39" s="9" t="inlineStr">
        <is>
          <t>商業施設内飲食</t>
        </is>
      </c>
      <c r="D39" s="9" t="inlineStr">
        <is>
          <t>イオンモール宮崎(飲食テナント)</t>
        </is>
      </c>
      <c r="E39" s="10" t="inlineStr">
        <is>
          <t>宮崎県宮崎市新別府町(イオンモール宮崎)</t>
        </is>
      </c>
      <c r="F39" s="9" t="inlineStr"/>
      <c r="G39" s="9" t="n">
        <v>1200</v>
      </c>
      <c r="H39" s="10" t="inlineStr">
        <is>
          <t>施設全体で飲食1,200円～・カフェ960円以上</t>
        </is>
      </c>
      <c r="I39" s="9" t="inlineStr">
        <is>
          <t>施設一般</t>
        </is>
      </c>
      <c r="J39" s="10" t="inlineStr">
        <is>
          <t>https://am-miyazaki-recruit.jp/job/-/info/list</t>
        </is>
      </c>
      <c r="K39" s="9" t="n">
        <v>1023</v>
      </c>
      <c r="L39" s="9">
        <f>IF(G39="","-",IF(G39&lt;K39,"割れ(旧掲載疑い)","OK"))</f>
        <v/>
      </c>
      <c r="M39" s="9">
        <f>IF(AND(D39&lt;&gt;"",E39&lt;&gt;"",F39&lt;&gt;"",G39&lt;&gt;""),"充足","不足")</f>
        <v/>
      </c>
      <c r="N39" s="9">
        <f>IF(I39="ブランド共通","未確定(店舗非固有)",IF(I39="施設一般","未確定(施設一般値)",IF(I39="近隣求人欄","未確定(近隣欄からの抽出)",IF(I39="店舗非特定","未確定(店舗非特定)",IF(G39="","取得不能",IF(L39="割れ(旧掲載疑い)","未確定(最低賃金割れ)",IF(M39="不足","未確定(証拠不足)","媒体掲載値")))))))</f>
        <v/>
      </c>
      <c r="O39" s="9" t="inlineStr">
        <is>
          <t>2026-07-31</t>
        </is>
      </c>
      <c r="P39" s="10" t="inlineStr">
        <is>
          <t>★施設全体の一般値であり特定テナントの時給ではない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" customWidth="1" min="3" max="3"/>
    <col width="16" customWidth="1" min="4" max="4"/>
    <col width="26" customWidth="1" min="5" max="5"/>
    <col width="11" customWidth="1" min="6" max="6"/>
    <col width="48" customWidth="1" min="7" max="7"/>
    <col width="22" customWidth="1" min="8" max="8"/>
    <col width="10" customWidth="1" min="9" max="9"/>
  </cols>
  <sheetData>
    <row r="1">
      <c r="A1" s="6" t="inlineStr">
        <is>
          <t>資さんうどん 陣山店　周辺時給調査</t>
        </is>
      </c>
    </row>
    <row r="2">
      <c r="A2" s="2" t="inlineStr">
        <is>
          <t>住所：福岡県北九州市八幡西区陣山1-3-33　TEL：093-883-6018　調査日：2026-07-31</t>
        </is>
      </c>
    </row>
    <row r="4">
      <c r="A4" s="11" t="inlineStr">
        <is>
          <t>福岡県最低賃金</t>
        </is>
      </c>
      <c r="B4" s="12" t="n">
        <v>1057</v>
      </c>
      <c r="D4" s="3" t="inlineStr">
        <is>
          <t>区分</t>
        </is>
      </c>
      <c r="E4" s="3" t="inlineStr">
        <is>
          <t>店舗名</t>
        </is>
      </c>
      <c r="F4" s="3" t="inlineStr">
        <is>
          <t>基本時給</t>
        </is>
      </c>
      <c r="G4" s="3" t="inlineStr">
        <is>
          <t>その他条件</t>
        </is>
      </c>
      <c r="H4" s="3" t="inlineStr">
        <is>
          <t>証明レベル</t>
        </is>
      </c>
      <c r="I4" s="3" t="inlineStr">
        <is>
          <t>距離</t>
        </is>
      </c>
    </row>
    <row r="5">
      <c r="A5" s="12" t="inlineStr">
        <is>
          <t>発効日</t>
        </is>
      </c>
      <c r="B5" s="12" t="inlineStr">
        <is>
          <t>2025-11-16</t>
        </is>
      </c>
      <c r="D5" s="7" t="inlineStr">
        <is>
          <t>牛丼</t>
        </is>
      </c>
      <c r="E5" s="7" t="inlineStr">
        <is>
          <t>すき家 3号黒崎店</t>
        </is>
      </c>
      <c r="F5" s="7">
        <f>IF(調査台帳!N6="媒体掲載値",調査台帳!G6,"未確定")</f>
        <v/>
      </c>
      <c r="G5" s="8" t="inlineStr">
        <is>
          <t>求人表示 1,080～1,350円</t>
        </is>
      </c>
      <c r="H5" s="7">
        <f>調査台帳!N6</f>
        <v/>
      </c>
      <c r="I5" s="7" t="inlineStr">
        <is>
          <t>未計測</t>
        </is>
      </c>
    </row>
    <row r="6">
      <c r="D6" s="7" t="inlineStr">
        <is>
          <t>ファミレス</t>
        </is>
      </c>
      <c r="E6" s="7" t="inlineStr">
        <is>
          <t>ジョイフル 北九州黒崎店</t>
        </is>
      </c>
      <c r="F6" s="7">
        <f>IF(調査台帳!N7="媒体掲載値",調査台帳!G7,"未確定")</f>
        <v/>
      </c>
      <c r="G6" s="8" t="inlineStr">
        <is>
          <t>9-15時 1,200円／15-22時 1,107円／22-5時 1,564円／5-9時 1,551円／高校生 1,107円</t>
        </is>
      </c>
      <c r="H6" s="7">
        <f>調査台帳!N7</f>
        <v/>
      </c>
      <c r="I6" s="7" t="inlineStr">
        <is>
          <t>未計測</t>
        </is>
      </c>
    </row>
    <row r="7">
      <c r="A7" s="13" t="inlineStr">
        <is>
          <t>陣山店 現行時給</t>
        </is>
      </c>
      <c r="B7" s="14" t="n">
        <v>1057</v>
      </c>
      <c r="D7" s="7" t="inlineStr">
        <is>
          <t>ファストフード</t>
        </is>
      </c>
      <c r="E7" s="7" t="inlineStr">
        <is>
          <t>マクドナルド フレスポ黒崎店</t>
        </is>
      </c>
      <c r="F7" s="7">
        <f>IF(調査台帳!N8="媒体掲載値",調査台帳!G8,"未確定")</f>
        <v/>
      </c>
      <c r="G7" s="8" t="inlineStr">
        <is>
          <t>22-5時 25%UP</t>
        </is>
      </c>
      <c r="H7" s="7">
        <f>調査台帳!N8</f>
        <v/>
      </c>
      <c r="I7" s="7" t="inlineStr">
        <is>
          <t>未計測</t>
        </is>
      </c>
    </row>
    <row r="8">
      <c r="A8" s="14" t="inlineStr">
        <is>
          <t>深夜時給(22-5時)</t>
        </is>
      </c>
      <c r="B8" s="14" t="n">
        <v>1322</v>
      </c>
      <c r="D8" s="7" t="inlineStr">
        <is>
          <t>牛丼</t>
        </is>
      </c>
      <c r="E8" s="7" t="inlineStr">
        <is>
          <t>吉野家 3号線黒崎西店</t>
        </is>
      </c>
      <c r="F8" s="7">
        <f>IF(調査台帳!N9="媒体掲載値",調査台帳!G9,"未確定")</f>
        <v/>
      </c>
      <c r="G8" s="8" t="inlineStr">
        <is>
          <t>求人表示 1,060～1,325円</t>
        </is>
      </c>
      <c r="H8" s="7">
        <f>調査台帳!N9</f>
        <v/>
      </c>
      <c r="I8" s="7" t="inlineStr">
        <is>
          <t>未計測</t>
        </is>
      </c>
    </row>
    <row r="9">
      <c r="A9" s="14" t="inlineStr">
        <is>
          <t>土日祝加算</t>
        </is>
      </c>
      <c r="B9" s="14" t="n">
        <v>130</v>
      </c>
      <c r="D9" s="9" t="inlineStr">
        <is>
          <t>うどん(直接競合)</t>
        </is>
      </c>
      <c r="E9" s="9" t="inlineStr">
        <is>
          <t>うどんウエスト(八幡西区)</t>
        </is>
      </c>
      <c r="F9" s="9">
        <f>IF(調査台帳!N10="媒体掲載値",調査台帳!G10,"未確定")</f>
        <v/>
      </c>
      <c r="G9" s="10" t="inlineStr">
        <is>
          <t>八幡西区として1,050円～と表示</t>
        </is>
      </c>
      <c r="H9" s="9">
        <f>調査台帳!N10</f>
        <v/>
      </c>
      <c r="I9" s="9" t="inlineStr">
        <is>
          <t>未計測</t>
        </is>
      </c>
    </row>
    <row r="10">
      <c r="A10" s="14" t="inlineStr">
        <is>
          <t>土日祝 実質時給</t>
        </is>
      </c>
      <c r="B10" s="14">
        <f>B7+B9</f>
        <v/>
      </c>
      <c r="D10" s="9" t="inlineStr">
        <is>
          <t>ちゃんぽん</t>
        </is>
      </c>
      <c r="E10" s="9" t="inlineStr">
        <is>
          <t>リンガーハット コムシティ黒崎店</t>
        </is>
      </c>
      <c r="F10" s="9">
        <f>IF(調査台帳!N11="媒体掲載値",調査台帳!G11,"未確定")</f>
        <v/>
      </c>
      <c r="G10" s="10" t="inlineStr">
        <is>
          <t>八幡西区のリンガーハットとして1,050円～と表示</t>
        </is>
      </c>
      <c r="H10" s="9">
        <f>調査台帳!N11</f>
        <v/>
      </c>
      <c r="I10" s="9" t="inlineStr">
        <is>
          <t>未計測</t>
        </is>
      </c>
    </row>
    <row r="11">
      <c r="A11" s="14" t="inlineStr">
        <is>
          <t>最低賃金との差</t>
        </is>
      </c>
      <c r="B11" s="14">
        <f>B7-B4</f>
        <v/>
      </c>
      <c r="D11" s="9" t="inlineStr">
        <is>
          <t>ファミレス</t>
        </is>
      </c>
      <c r="E11" s="9" t="inlineStr">
        <is>
          <t>ガスト イオンタウン黒崎店</t>
        </is>
      </c>
      <c r="F11" s="9">
        <f>IF(調査台帳!N12="媒体掲載値",調査台帳!G12,"未確定")</f>
        <v/>
      </c>
      <c r="G11" s="10" t="inlineStr">
        <is>
          <t>福岡県内共通レンジ 1,240～1,428円(深夜割増込み)のみ取得</t>
        </is>
      </c>
      <c r="H11" s="9">
        <f>調査台帳!N12</f>
        <v/>
      </c>
      <c r="I11" s="9" t="inlineStr">
        <is>
          <t>未計測</t>
        </is>
      </c>
    </row>
    <row r="12">
      <c r="A12" s="14" t="inlineStr">
        <is>
          <t>証明レベル</t>
        </is>
      </c>
      <c r="B12" s="14" t="inlineStr">
        <is>
          <t>実額確認済み(社内データ)</t>
        </is>
      </c>
    </row>
    <row r="13">
      <c r="D13" s="5" t="inlineStr">
        <is>
          <t>周辺相場(採用できた値のみ)</t>
        </is>
      </c>
    </row>
    <row r="14">
      <c r="D14" t="inlineStr">
        <is>
          <t>件数</t>
        </is>
      </c>
      <c r="E14">
        <f>COUNT(F5:F11)</f>
        <v/>
      </c>
    </row>
    <row r="15">
      <c r="D15" t="inlineStr">
        <is>
          <t>最安</t>
        </is>
      </c>
      <c r="E15">
        <f>IF(COUNT(F5:F11)=0,"-",MIN(F5:F11))</f>
        <v/>
      </c>
    </row>
    <row r="16">
      <c r="D16" t="inlineStr">
        <is>
          <t>最高</t>
        </is>
      </c>
      <c r="E16">
        <f>IF(COUNT(F5:F11)=0,"-",MAX(F5:F11))</f>
        <v/>
      </c>
    </row>
    <row r="17">
      <c r="D17" t="inlineStr">
        <is>
          <t>中央値</t>
        </is>
      </c>
      <c r="E17">
        <f>IF(COUNT(F5:F11)=0,"-",MEDIAN(F5:F11))</f>
        <v/>
      </c>
    </row>
    <row r="18">
      <c r="D18" t="inlineStr">
        <is>
          <t>自社と中央値の差</t>
        </is>
      </c>
      <c r="E18">
        <f>IF(COUNT(F5:F11)=0,"-",B7-MEDIAN(F5:F11))</f>
        <v/>
      </c>
    </row>
    <row r="20">
      <c r="D20" s="2" t="inlineStr">
        <is>
          <t>※「未確定」は数値が無いという意味ではなく、店舗と金額の帰属を確認できていないという意味です。</t>
        </is>
      </c>
    </row>
    <row r="21">
      <c r="D21" s="2" t="inlineStr">
        <is>
          <t>※距離は未計測です。今回の調査範囲外としています。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" customWidth="1" min="3" max="3"/>
    <col width="16" customWidth="1" min="4" max="4"/>
    <col width="26" customWidth="1" min="5" max="5"/>
    <col width="11" customWidth="1" min="6" max="6"/>
    <col width="48" customWidth="1" min="7" max="7"/>
    <col width="22" customWidth="1" min="8" max="8"/>
    <col width="10" customWidth="1" min="9" max="9"/>
  </cols>
  <sheetData>
    <row r="1">
      <c r="A1" s="6" t="inlineStr">
        <is>
          <t>資さんうどん 新池店　周辺時給調査</t>
        </is>
      </c>
    </row>
    <row r="2">
      <c r="A2" s="2" t="inlineStr">
        <is>
          <t>住所：福岡県北九州市戸畑区新池3-12-3　TEL：093-616-8024　調査日：2026-07-31</t>
        </is>
      </c>
    </row>
    <row r="4">
      <c r="A4" s="11" t="inlineStr">
        <is>
          <t>福岡県最低賃金</t>
        </is>
      </c>
      <c r="B4" s="12" t="n">
        <v>1057</v>
      </c>
      <c r="D4" s="3" t="inlineStr">
        <is>
          <t>区分</t>
        </is>
      </c>
      <c r="E4" s="3" t="inlineStr">
        <is>
          <t>店舗名</t>
        </is>
      </c>
      <c r="F4" s="3" t="inlineStr">
        <is>
          <t>基本時給</t>
        </is>
      </c>
      <c r="G4" s="3" t="inlineStr">
        <is>
          <t>その他条件</t>
        </is>
      </c>
      <c r="H4" s="3" t="inlineStr">
        <is>
          <t>証明レベル</t>
        </is>
      </c>
      <c r="I4" s="3" t="inlineStr">
        <is>
          <t>距離</t>
        </is>
      </c>
    </row>
    <row r="5">
      <c r="A5" s="12" t="inlineStr">
        <is>
          <t>発効日</t>
        </is>
      </c>
      <c r="B5" s="12" t="inlineStr">
        <is>
          <t>2025-11-16</t>
        </is>
      </c>
      <c r="D5" s="7" t="inlineStr">
        <is>
          <t>回転寿司</t>
        </is>
      </c>
      <c r="E5" s="7" t="inlineStr">
        <is>
          <t>スシロー 戸畑鞘ヶ谷店</t>
        </is>
      </c>
      <c r="F5" s="7">
        <f>IF(調査台帳!N13="媒体掲載値",調査台帳!G13,"未確定")</f>
        <v/>
      </c>
      <c r="G5" s="8" t="inlineStr">
        <is>
          <t>求人表示 1,100～1,425円</t>
        </is>
      </c>
      <c r="H5" s="7">
        <f>調査台帳!N13</f>
        <v/>
      </c>
      <c r="I5" s="7" t="inlineStr">
        <is>
          <t>未計測</t>
        </is>
      </c>
    </row>
    <row r="6">
      <c r="D6" s="7" t="inlineStr">
        <is>
          <t>ファストフード</t>
        </is>
      </c>
      <c r="E6" s="7" t="inlineStr">
        <is>
          <t>マクドナルド 戸畑夜宮店</t>
        </is>
      </c>
      <c r="F6" s="7">
        <f>IF(調査台帳!N14="媒体掲載値",調査台帳!G14,"未確定")</f>
        <v/>
      </c>
      <c r="G6" s="8" t="inlineStr">
        <is>
          <t>22-5時 25%UP</t>
        </is>
      </c>
      <c r="H6" s="7">
        <f>調査台帳!N14</f>
        <v/>
      </c>
      <c r="I6" s="7" t="inlineStr">
        <is>
          <t>未計測</t>
        </is>
      </c>
    </row>
    <row r="7">
      <c r="A7" s="13" t="inlineStr">
        <is>
          <t>新池店 現行時給</t>
        </is>
      </c>
      <c r="B7" s="14" t="n">
        <v>1057</v>
      </c>
      <c r="D7" s="7" t="inlineStr">
        <is>
          <t>ファストフード</t>
        </is>
      </c>
      <c r="E7" s="7" t="inlineStr">
        <is>
          <t>マクドナルド イオン戸畑SC店</t>
        </is>
      </c>
      <c r="F7" s="7">
        <f>IF(調査台帳!N15="媒体掲載値",調査台帳!G15,"未確定")</f>
        <v/>
      </c>
      <c r="G7" s="8" t="inlineStr">
        <is>
          <t>高校生 1,057円～／22-5時 25%UP。一般時給は未取得</t>
        </is>
      </c>
      <c r="H7" s="7">
        <f>調査台帳!N15</f>
        <v/>
      </c>
      <c r="I7" s="7" t="inlineStr">
        <is>
          <t>未計測</t>
        </is>
      </c>
    </row>
    <row r="8">
      <c r="A8" s="14" t="inlineStr">
        <is>
          <t>深夜時給(22-5時)</t>
        </is>
      </c>
      <c r="B8" s="14" t="n">
        <v>1322</v>
      </c>
      <c r="D8" s="9" t="inlineStr">
        <is>
          <t>うどん(直接競合)</t>
        </is>
      </c>
      <c r="E8" s="9" t="inlineStr">
        <is>
          <t>うどんウエスト 戸畑店</t>
        </is>
      </c>
      <c r="F8" s="9">
        <f>IF(調査台帳!N16="媒体掲載値",調査台帳!G16,"未確定")</f>
        <v/>
      </c>
      <c r="G8" s="10" t="inlineStr">
        <is>
          <t>店舗の時給掲載を取得できず</t>
        </is>
      </c>
      <c r="H8" s="9">
        <f>調査台帳!N16</f>
        <v/>
      </c>
      <c r="I8" s="9" t="inlineStr">
        <is>
          <t>未計測</t>
        </is>
      </c>
    </row>
    <row r="9">
      <c r="A9" s="14" t="inlineStr">
        <is>
          <t>土日祝加算</t>
        </is>
      </c>
      <c r="B9" s="14" t="n">
        <v>130</v>
      </c>
      <c r="D9" s="9" t="inlineStr">
        <is>
          <t>ファミレス</t>
        </is>
      </c>
      <c r="E9" s="9" t="inlineStr">
        <is>
          <t>ジョイフル(戸畑区)</t>
        </is>
      </c>
      <c r="F9" s="9">
        <f>IF(調査台帳!N17="媒体掲載値",調査台帳!G17,"未確定")</f>
        <v/>
      </c>
      <c r="G9" s="10" t="inlineStr">
        <is>
          <t>検索で並んだのは本城店1,042円・小倉熊本店1,042円。いずれも戸畑区外</t>
        </is>
      </c>
      <c r="H9" s="9">
        <f>調査台帳!N17</f>
        <v/>
      </c>
      <c r="I9" s="9" t="inlineStr">
        <is>
          <t>未計測</t>
        </is>
      </c>
    </row>
    <row r="10">
      <c r="A10" s="14" t="inlineStr">
        <is>
          <t>土日祝 実質時給</t>
        </is>
      </c>
      <c r="B10" s="14">
        <f>B7+B9</f>
        <v/>
      </c>
    </row>
    <row r="11">
      <c r="A11" s="14" t="inlineStr">
        <is>
          <t>最低賃金との差</t>
        </is>
      </c>
      <c r="B11" s="14">
        <f>B7-B4</f>
        <v/>
      </c>
      <c r="D11" s="5" t="inlineStr">
        <is>
          <t>周辺相場(採用できた値のみ)</t>
        </is>
      </c>
    </row>
    <row r="12">
      <c r="A12" s="14" t="inlineStr">
        <is>
          <t>証明レベル</t>
        </is>
      </c>
      <c r="B12" s="14" t="inlineStr">
        <is>
          <t>実額確認済み(社内データ)</t>
        </is>
      </c>
      <c r="D12" t="inlineStr">
        <is>
          <t>件数</t>
        </is>
      </c>
      <c r="E12">
        <f>COUNT(F5:F9)</f>
        <v/>
      </c>
    </row>
    <row r="13">
      <c r="D13" t="inlineStr">
        <is>
          <t>最安</t>
        </is>
      </c>
      <c r="E13">
        <f>IF(COUNT(F5:F9)=0,"-",MIN(F5:F9))</f>
        <v/>
      </c>
    </row>
    <row r="14">
      <c r="D14" t="inlineStr">
        <is>
          <t>最高</t>
        </is>
      </c>
      <c r="E14">
        <f>IF(COUNT(F5:F9)=0,"-",MAX(F5:F9))</f>
        <v/>
      </c>
    </row>
    <row r="15">
      <c r="D15" t="inlineStr">
        <is>
          <t>中央値</t>
        </is>
      </c>
      <c r="E15">
        <f>IF(COUNT(F5:F9)=0,"-",MEDIAN(F5:F9))</f>
        <v/>
      </c>
    </row>
    <row r="16">
      <c r="D16" t="inlineStr">
        <is>
          <t>自社と中央値の差</t>
        </is>
      </c>
      <c r="E16">
        <f>IF(COUNT(F5:F9)=0,"-",B7-MEDIAN(F5:F9))</f>
        <v/>
      </c>
    </row>
    <row r="18">
      <c r="D18" s="2" t="inlineStr">
        <is>
          <t>※「未確定」は数値が無いという意味ではなく、店舗と金額の帰属を確認できていないという意味です。</t>
        </is>
      </c>
    </row>
    <row r="19">
      <c r="D19" s="2" t="inlineStr">
        <is>
          <t>※距離は未計測です。今回の調査範囲外としています。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" customWidth="1" min="3" max="3"/>
    <col width="16" customWidth="1" min="4" max="4"/>
    <col width="26" customWidth="1" min="5" max="5"/>
    <col width="11" customWidth="1" min="6" max="6"/>
    <col width="48" customWidth="1" min="7" max="7"/>
    <col width="22" customWidth="1" min="8" max="8"/>
    <col width="10" customWidth="1" min="9" max="9"/>
  </cols>
  <sheetData>
    <row r="1">
      <c r="A1" s="6" t="inlineStr">
        <is>
          <t>資さんうどん 宗像店　周辺時給調査</t>
        </is>
      </c>
    </row>
    <row r="2">
      <c r="A2" s="2" t="inlineStr">
        <is>
          <t>住所：福岡県宗像市稲元2-4-8　TEL：0940-34-1177　調査日：2026-07-31</t>
        </is>
      </c>
    </row>
    <row r="4">
      <c r="A4" s="11" t="inlineStr">
        <is>
          <t>福岡県最低賃金</t>
        </is>
      </c>
      <c r="B4" s="12" t="n">
        <v>1057</v>
      </c>
      <c r="D4" s="3" t="inlineStr">
        <is>
          <t>区分</t>
        </is>
      </c>
      <c r="E4" s="3" t="inlineStr">
        <is>
          <t>店舗名</t>
        </is>
      </c>
      <c r="F4" s="3" t="inlineStr">
        <is>
          <t>基本時給</t>
        </is>
      </c>
      <c r="G4" s="3" t="inlineStr">
        <is>
          <t>その他条件</t>
        </is>
      </c>
      <c r="H4" s="3" t="inlineStr">
        <is>
          <t>証明レベル</t>
        </is>
      </c>
      <c r="I4" s="3" t="inlineStr">
        <is>
          <t>距離</t>
        </is>
      </c>
    </row>
    <row r="5">
      <c r="A5" s="12" t="inlineStr">
        <is>
          <t>発効日</t>
        </is>
      </c>
      <c r="B5" s="12" t="inlineStr">
        <is>
          <t>2025-11-16</t>
        </is>
      </c>
      <c r="D5" s="7" t="inlineStr">
        <is>
          <t>ファミレス</t>
        </is>
      </c>
      <c r="E5" s="7" t="inlineStr">
        <is>
          <t>ジョイフル 宗像徳重店</t>
        </is>
      </c>
      <c r="F5" s="7">
        <f>IF(調査台帳!N18="媒体掲載値",調査台帳!G18,"未確定")</f>
        <v/>
      </c>
      <c r="G5" s="8" t="inlineStr">
        <is>
          <t>9:00-15:00 の時給</t>
        </is>
      </c>
      <c r="H5" s="7">
        <f>調査台帳!N18</f>
        <v/>
      </c>
      <c r="I5" s="7" t="inlineStr">
        <is>
          <t>未計測</t>
        </is>
      </c>
    </row>
    <row r="6">
      <c r="D6" s="7" t="inlineStr">
        <is>
          <t>ファストフード</t>
        </is>
      </c>
      <c r="E6" s="7" t="inlineStr">
        <is>
          <t>マクドナルド 宗像ミスターマックス店</t>
        </is>
      </c>
      <c r="F6" s="7">
        <f>IF(調査台帳!N19="媒体掲載値",調査台帳!G19,"未確定")</f>
        <v/>
      </c>
      <c r="G6" s="8" t="inlineStr">
        <is>
          <t>時給の記載を取得できず</t>
        </is>
      </c>
      <c r="H6" s="7">
        <f>調査台帳!N19</f>
        <v/>
      </c>
      <c r="I6" s="7" t="inlineStr">
        <is>
          <t>未計測</t>
        </is>
      </c>
    </row>
    <row r="7">
      <c r="A7" s="13" t="inlineStr">
        <is>
          <t>宗像店 現行時給</t>
        </is>
      </c>
      <c r="B7" s="14" t="n">
        <v>1057</v>
      </c>
      <c r="D7" s="7" t="inlineStr">
        <is>
          <t>牛丼</t>
        </is>
      </c>
      <c r="E7" s="7" t="inlineStr">
        <is>
          <t>すき家 宗像赤間店</t>
        </is>
      </c>
      <c r="F7" s="7">
        <f>IF(調査台帳!N20="媒体掲載値",調査台帳!G20,"未確定")</f>
        <v/>
      </c>
      <c r="G7" s="8" t="inlineStr">
        <is>
          <t>時給の記載を取得できず</t>
        </is>
      </c>
      <c r="H7" s="7">
        <f>調査台帳!N20</f>
        <v/>
      </c>
      <c r="I7" s="7" t="inlineStr">
        <is>
          <t>未計測</t>
        </is>
      </c>
    </row>
    <row r="8">
      <c r="A8" s="14" t="inlineStr">
        <is>
          <t>深夜時給(22-5時)</t>
        </is>
      </c>
      <c r="B8" s="14" t="n">
        <v>1322</v>
      </c>
      <c r="D8" s="9" t="inlineStr">
        <is>
          <t>うどん(直接競合)</t>
        </is>
      </c>
      <c r="E8" s="9" t="inlineStr">
        <is>
          <t>うどんウエスト 宗像店</t>
        </is>
      </c>
      <c r="F8" s="9">
        <f>IF(調査台帳!N21="媒体掲載値",調査台帳!G21,"未確定")</f>
        <v/>
      </c>
      <c r="G8" s="10" t="inlineStr">
        <is>
          <t>店舗の時給掲載を取得できず</t>
        </is>
      </c>
      <c r="H8" s="9">
        <f>調査台帳!N21</f>
        <v/>
      </c>
      <c r="I8" s="9" t="inlineStr">
        <is>
          <t>未計測</t>
        </is>
      </c>
    </row>
    <row r="9">
      <c r="A9" s="14" t="inlineStr">
        <is>
          <t>土日祝加算</t>
        </is>
      </c>
      <c r="B9" s="14" t="n">
        <v>130</v>
      </c>
    </row>
    <row r="10">
      <c r="A10" s="14" t="inlineStr">
        <is>
          <t>土日祝 実質時給</t>
        </is>
      </c>
      <c r="B10" s="14">
        <f>B7+B9</f>
        <v/>
      </c>
      <c r="D10" s="5" t="inlineStr">
        <is>
          <t>周辺相場(採用できた値のみ)</t>
        </is>
      </c>
    </row>
    <row r="11">
      <c r="A11" s="14" t="inlineStr">
        <is>
          <t>最低賃金との差</t>
        </is>
      </c>
      <c r="B11" s="14">
        <f>B7-B4</f>
        <v/>
      </c>
      <c r="D11" t="inlineStr">
        <is>
          <t>件数</t>
        </is>
      </c>
      <c r="E11">
        <f>COUNT(F5:F8)</f>
        <v/>
      </c>
    </row>
    <row r="12">
      <c r="A12" s="14" t="inlineStr">
        <is>
          <t>証明レベル</t>
        </is>
      </c>
      <c r="B12" s="14" t="inlineStr">
        <is>
          <t>実額確認済み(社内データ)</t>
        </is>
      </c>
      <c r="D12" t="inlineStr">
        <is>
          <t>最安</t>
        </is>
      </c>
      <c r="E12">
        <f>IF(COUNT(F5:F8)=0,"-",MIN(F5:F8))</f>
        <v/>
      </c>
    </row>
    <row r="13">
      <c r="D13" t="inlineStr">
        <is>
          <t>最高</t>
        </is>
      </c>
      <c r="E13">
        <f>IF(COUNT(F5:F8)=0,"-",MAX(F5:F8))</f>
        <v/>
      </c>
    </row>
    <row r="14">
      <c r="D14" t="inlineStr">
        <is>
          <t>中央値</t>
        </is>
      </c>
      <c r="E14">
        <f>IF(COUNT(F5:F8)=0,"-",MEDIAN(F5:F8))</f>
        <v/>
      </c>
    </row>
    <row r="15">
      <c r="D15" t="inlineStr">
        <is>
          <t>自社と中央値の差</t>
        </is>
      </c>
      <c r="E15">
        <f>IF(COUNT(F5:F8)=0,"-",B7-MEDIAN(F5:F8))</f>
        <v/>
      </c>
    </row>
    <row r="17">
      <c r="D17" s="2" t="inlineStr">
        <is>
          <t>※「未確定」は数値が無いという意味ではなく、店舗と金額の帰属を確認できていないという意味です。</t>
        </is>
      </c>
    </row>
    <row r="18">
      <c r="D18" s="2" t="inlineStr">
        <is>
          <t>※距離は未計測です。今回の調査範囲外としています。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" customWidth="1" min="3" max="3"/>
    <col width="16" customWidth="1" min="4" max="4"/>
    <col width="26" customWidth="1" min="5" max="5"/>
    <col width="11" customWidth="1" min="6" max="6"/>
    <col width="48" customWidth="1" min="7" max="7"/>
    <col width="22" customWidth="1" min="8" max="8"/>
    <col width="10" customWidth="1" min="9" max="9"/>
  </cols>
  <sheetData>
    <row r="1">
      <c r="A1" s="6" t="inlineStr">
        <is>
          <t>資さんうどん 菊陽店　周辺時給調査</t>
        </is>
      </c>
    </row>
    <row r="2">
      <c r="A2" s="2" t="inlineStr">
        <is>
          <t>住所：熊本県菊池郡菊陽町津久礼2750-2　TEL：096-234-8668　調査日：2026-07-31</t>
        </is>
      </c>
    </row>
    <row r="4">
      <c r="A4" s="11" t="inlineStr">
        <is>
          <t>熊本県最低賃金</t>
        </is>
      </c>
      <c r="B4" s="12" t="n">
        <v>1034</v>
      </c>
      <c r="D4" s="3" t="inlineStr">
        <is>
          <t>区分</t>
        </is>
      </c>
      <c r="E4" s="3" t="inlineStr">
        <is>
          <t>店舗名</t>
        </is>
      </c>
      <c r="F4" s="3" t="inlineStr">
        <is>
          <t>基本時給</t>
        </is>
      </c>
      <c r="G4" s="3" t="inlineStr">
        <is>
          <t>その他条件</t>
        </is>
      </c>
      <c r="H4" s="3" t="inlineStr">
        <is>
          <t>証明レベル</t>
        </is>
      </c>
      <c r="I4" s="3" t="inlineStr">
        <is>
          <t>距離</t>
        </is>
      </c>
    </row>
    <row r="5">
      <c r="A5" s="12" t="inlineStr">
        <is>
          <t>発効日</t>
        </is>
      </c>
      <c r="B5" s="12" t="inlineStr">
        <is>
          <t>2026-01-01</t>
        </is>
      </c>
      <c r="D5" s="7" t="inlineStr">
        <is>
          <t>うどん(直接競合)</t>
        </is>
      </c>
      <c r="E5" s="7" t="inlineStr">
        <is>
          <t>丸亀製麺 ゆめタウン光の森店</t>
        </is>
      </c>
      <c r="F5" s="7">
        <f>IF(調査台帳!N22="媒体掲載値",調査台帳!G22,"未確定")</f>
        <v/>
      </c>
      <c r="G5" s="8" t="inlineStr">
        <is>
          <t>求人表示 1,200～1,500円／閉店作業 1,100円～／土曜+50円・日祝+100円</t>
        </is>
      </c>
      <c r="H5" s="7">
        <f>調査台帳!N22</f>
        <v/>
      </c>
      <c r="I5" s="7" t="inlineStr">
        <is>
          <t>未計測</t>
        </is>
      </c>
    </row>
    <row r="6">
      <c r="D6" s="7" t="inlineStr">
        <is>
          <t>ファミレス</t>
        </is>
      </c>
      <c r="E6" s="7" t="inlineStr">
        <is>
          <t>ジョイフル 菊陽店</t>
        </is>
      </c>
      <c r="F6" s="7">
        <f>IF(調査台帳!N23="媒体掲載値",調査台帳!G23,"未確定")</f>
        <v/>
      </c>
      <c r="G6" s="8" t="inlineStr">
        <is>
          <t>9-15時 1,250円／15-18時 1,084円／18-22時 1,200円／22-0時 1,355円／0-9時 1,438円／高校生 1,084円</t>
        </is>
      </c>
      <c r="H6" s="7">
        <f>調査台帳!N23</f>
        <v/>
      </c>
      <c r="I6" s="7" t="inlineStr">
        <is>
          <t>未計測</t>
        </is>
      </c>
    </row>
    <row r="7">
      <c r="A7" s="13" t="inlineStr">
        <is>
          <t>菊陽店 現行時給</t>
        </is>
      </c>
      <c r="B7" s="14" t="n">
        <v>1034</v>
      </c>
      <c r="D7" s="9" t="inlineStr">
        <is>
          <t>うどん(直接競合)</t>
        </is>
      </c>
      <c r="E7" s="9" t="inlineStr">
        <is>
          <t>うどんウエスト 菊陽光の森店</t>
        </is>
      </c>
      <c r="F7" s="9">
        <f>IF(調査台帳!N24="媒体掲載値",調査台帳!G24,"未確定")</f>
        <v/>
      </c>
      <c r="G7" s="10" t="inlineStr">
        <is>
          <t>うどんコーナー 900円～/950円～／深夜早朝 1,400円～／土日祝+50円</t>
        </is>
      </c>
      <c r="H7" s="9">
        <f>調査台帳!N24</f>
        <v/>
      </c>
      <c r="I7" s="9" t="inlineStr">
        <is>
          <t>未計測</t>
        </is>
      </c>
    </row>
    <row r="8">
      <c r="A8" s="14" t="inlineStr">
        <is>
          <t>深夜時給(22-5時)</t>
        </is>
      </c>
      <c r="B8" s="14" t="n">
        <v>1293</v>
      </c>
      <c r="D8" s="9" t="inlineStr">
        <is>
          <t>ファストフード</t>
        </is>
      </c>
      <c r="E8" s="9" t="inlineStr">
        <is>
          <t>マクドナルド 光の森ゆめタウン店</t>
        </is>
      </c>
      <c r="F8" s="9">
        <f>IF(調査台帳!N25="媒体掲載値",調査台帳!G25,"未確定")</f>
        <v/>
      </c>
      <c r="G8" s="10" t="inlineStr">
        <is>
          <t>熊本県内一般として1,040円～、深夜1,250円と表示</t>
        </is>
      </c>
      <c r="H8" s="9">
        <f>調査台帳!N25</f>
        <v/>
      </c>
      <c r="I8" s="9" t="inlineStr">
        <is>
          <t>未計測</t>
        </is>
      </c>
    </row>
    <row r="9">
      <c r="A9" s="14" t="inlineStr">
        <is>
          <t>土日祝加算</t>
        </is>
      </c>
      <c r="B9" s="14" t="n">
        <v>130</v>
      </c>
    </row>
    <row r="10">
      <c r="A10" s="14" t="inlineStr">
        <is>
          <t>土日祝 実質時給</t>
        </is>
      </c>
      <c r="B10" s="14">
        <f>B7+B9</f>
        <v/>
      </c>
      <c r="D10" s="5" t="inlineStr">
        <is>
          <t>周辺相場(採用できた値のみ)</t>
        </is>
      </c>
    </row>
    <row r="11">
      <c r="A11" s="14" t="inlineStr">
        <is>
          <t>最低賃金との差</t>
        </is>
      </c>
      <c r="B11" s="14">
        <f>B7-B4</f>
        <v/>
      </c>
      <c r="D11" t="inlineStr">
        <is>
          <t>件数</t>
        </is>
      </c>
      <c r="E11">
        <f>COUNT(F5:F8)</f>
        <v/>
      </c>
    </row>
    <row r="12">
      <c r="A12" s="14" t="inlineStr">
        <is>
          <t>証明レベル</t>
        </is>
      </c>
      <c r="B12" s="14" t="inlineStr">
        <is>
          <t>実額確認済み(社内データ)</t>
        </is>
      </c>
      <c r="D12" t="inlineStr">
        <is>
          <t>最安</t>
        </is>
      </c>
      <c r="E12">
        <f>IF(COUNT(F5:F8)=0,"-",MIN(F5:F8))</f>
        <v/>
      </c>
    </row>
    <row r="13">
      <c r="D13" t="inlineStr">
        <is>
          <t>最高</t>
        </is>
      </c>
      <c r="E13">
        <f>IF(COUNT(F5:F8)=0,"-",MAX(F5:F8))</f>
        <v/>
      </c>
    </row>
    <row r="14">
      <c r="D14" t="inlineStr">
        <is>
          <t>中央値</t>
        </is>
      </c>
      <c r="E14">
        <f>IF(COUNT(F5:F8)=0,"-",MEDIAN(F5:F8))</f>
        <v/>
      </c>
    </row>
    <row r="15">
      <c r="D15" t="inlineStr">
        <is>
          <t>自社と中央値の差</t>
        </is>
      </c>
      <c r="E15">
        <f>IF(COUNT(F5:F8)=0,"-",B7-MEDIAN(F5:F8))</f>
        <v/>
      </c>
    </row>
    <row r="17">
      <c r="D17" s="2" t="inlineStr">
        <is>
          <t>※「未確定」は数値が無いという意味ではなく、店舗と金額の帰属を確認できていないという意味です。</t>
        </is>
      </c>
    </row>
    <row r="18">
      <c r="D18" s="2" t="inlineStr">
        <is>
          <t>※距離は未計測です。今回の調査範囲外としています。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" customWidth="1" min="3" max="3"/>
    <col width="16" customWidth="1" min="4" max="4"/>
    <col width="26" customWidth="1" min="5" max="5"/>
    <col width="11" customWidth="1" min="6" max="6"/>
    <col width="48" customWidth="1" min="7" max="7"/>
    <col width="22" customWidth="1" min="8" max="8"/>
    <col width="10" customWidth="1" min="9" max="9"/>
  </cols>
  <sheetData>
    <row r="1">
      <c r="A1" s="6" t="inlineStr">
        <is>
          <t>資さんうどん 鳥栖真木店　周辺時給調査</t>
        </is>
      </c>
    </row>
    <row r="2">
      <c r="A2" s="2" t="inlineStr">
        <is>
          <t>住所：佐賀県鳥栖市真木町1113-6　TEL：0942-50-5105　調査日：2026-07-31</t>
        </is>
      </c>
    </row>
    <row r="4">
      <c r="A4" s="11" t="inlineStr">
        <is>
          <t>佐賀県最低賃金</t>
        </is>
      </c>
      <c r="B4" s="12" t="n">
        <v>1030</v>
      </c>
      <c r="D4" s="3" t="inlineStr">
        <is>
          <t>区分</t>
        </is>
      </c>
      <c r="E4" s="3" t="inlineStr">
        <is>
          <t>店舗名</t>
        </is>
      </c>
      <c r="F4" s="3" t="inlineStr">
        <is>
          <t>基本時給</t>
        </is>
      </c>
      <c r="G4" s="3" t="inlineStr">
        <is>
          <t>その他条件</t>
        </is>
      </c>
      <c r="H4" s="3" t="inlineStr">
        <is>
          <t>証明レベル</t>
        </is>
      </c>
      <c r="I4" s="3" t="inlineStr">
        <is>
          <t>距離</t>
        </is>
      </c>
    </row>
    <row r="5">
      <c r="A5" s="12" t="inlineStr">
        <is>
          <t>発効日</t>
        </is>
      </c>
      <c r="B5" s="12" t="inlineStr">
        <is>
          <t>2025-11-21</t>
        </is>
      </c>
      <c r="D5" s="7" t="inlineStr">
        <is>
          <t>ファミレス</t>
        </is>
      </c>
      <c r="E5" s="7" t="inlineStr">
        <is>
          <t>ジョイフル 鳥栖中央店</t>
        </is>
      </c>
      <c r="F5" s="7">
        <f>IF(調査台帳!N26="媒体掲載値",調査台帳!G26,"未確定")</f>
        <v/>
      </c>
      <c r="G5" s="8" t="inlineStr">
        <is>
          <t>求人表示 1,200～1,450円</t>
        </is>
      </c>
      <c r="H5" s="7">
        <f>調査台帳!N26</f>
        <v/>
      </c>
      <c r="I5" s="7" t="inlineStr">
        <is>
          <t>未計測</t>
        </is>
      </c>
    </row>
    <row r="6">
      <c r="D6" s="9" t="inlineStr">
        <is>
          <t>うどん(直接競合)</t>
        </is>
      </c>
      <c r="E6" s="9" t="inlineStr">
        <is>
          <t>丸亀製麺 鳥栖店</t>
        </is>
      </c>
      <c r="F6" s="9">
        <f>IF(調査台帳!N27="媒体掲載値",調査台帳!G27,"未確定")</f>
        <v/>
      </c>
      <c r="G6" s="10" t="inlineStr">
        <is>
          <t>開店準備・仕込みスタッフ 980円～(高校生同額)</t>
        </is>
      </c>
      <c r="H6" s="9">
        <f>調査台帳!N27</f>
        <v/>
      </c>
      <c r="I6" s="9" t="inlineStr">
        <is>
          <t>未計測</t>
        </is>
      </c>
    </row>
    <row r="7">
      <c r="A7" s="13" t="inlineStr">
        <is>
          <t>鳥栖真木店 現行時給</t>
        </is>
      </c>
      <c r="B7" s="14" t="n">
        <v>1030</v>
      </c>
      <c r="D7" s="7" t="inlineStr">
        <is>
          <t>ファストフード</t>
        </is>
      </c>
      <c r="E7" s="7" t="inlineStr">
        <is>
          <t>マクドナルド 鳥栖フレスポ店</t>
        </is>
      </c>
      <c r="F7" s="7">
        <f>IF(調査台帳!N28="媒体掲載値",調査台帳!G28,"未確定")</f>
        <v/>
      </c>
      <c r="G7" s="8" t="inlineStr">
        <is>
          <t>時給の記載を取得できず</t>
        </is>
      </c>
      <c r="H7" s="7">
        <f>調査台帳!N28</f>
        <v/>
      </c>
      <c r="I7" s="7" t="inlineStr">
        <is>
          <t>未計測</t>
        </is>
      </c>
    </row>
    <row r="8">
      <c r="A8" s="14" t="inlineStr">
        <is>
          <t>深夜時給(22-5時)</t>
        </is>
      </c>
      <c r="B8" s="14" t="n">
        <v>1288</v>
      </c>
      <c r="D8" s="7" t="inlineStr">
        <is>
          <t>焼肉</t>
        </is>
      </c>
      <c r="E8" s="7" t="inlineStr">
        <is>
          <t>ウエスト 焼肉 鳥栖店</t>
        </is>
      </c>
      <c r="F8" s="7">
        <f>IF(調査台帳!N29="媒体掲載値",調査台帳!G29,"未確定")</f>
        <v/>
      </c>
      <c r="G8" s="8" t="inlineStr">
        <is>
          <t>時給の記載を取得できず</t>
        </is>
      </c>
      <c r="H8" s="7">
        <f>調査台帳!N29</f>
        <v/>
      </c>
      <c r="I8" s="7" t="inlineStr">
        <is>
          <t>未計測</t>
        </is>
      </c>
    </row>
    <row r="9">
      <c r="A9" s="14" t="inlineStr">
        <is>
          <t>土日祝加算</t>
        </is>
      </c>
      <c r="B9" s="14" t="n">
        <v>130</v>
      </c>
    </row>
    <row r="10">
      <c r="A10" s="14" t="inlineStr">
        <is>
          <t>土日祝 実質時給</t>
        </is>
      </c>
      <c r="B10" s="14">
        <f>B7+B9</f>
        <v/>
      </c>
      <c r="D10" s="5" t="inlineStr">
        <is>
          <t>周辺相場(採用できた値のみ)</t>
        </is>
      </c>
    </row>
    <row r="11">
      <c r="A11" s="14" t="inlineStr">
        <is>
          <t>最低賃金との差</t>
        </is>
      </c>
      <c r="B11" s="14">
        <f>B7-B4</f>
        <v/>
      </c>
      <c r="D11" t="inlineStr">
        <is>
          <t>件数</t>
        </is>
      </c>
      <c r="E11">
        <f>COUNT(F5:F8)</f>
        <v/>
      </c>
    </row>
    <row r="12">
      <c r="A12" s="14" t="inlineStr">
        <is>
          <t>証明レベル</t>
        </is>
      </c>
      <c r="B12" s="14" t="inlineStr">
        <is>
          <t>実額確認済み(社内データ)</t>
        </is>
      </c>
      <c r="D12" t="inlineStr">
        <is>
          <t>最安</t>
        </is>
      </c>
      <c r="E12">
        <f>IF(COUNT(F5:F8)=0,"-",MIN(F5:F8))</f>
        <v/>
      </c>
    </row>
    <row r="13">
      <c r="D13" t="inlineStr">
        <is>
          <t>最高</t>
        </is>
      </c>
      <c r="E13">
        <f>IF(COUNT(F5:F8)=0,"-",MAX(F5:F8))</f>
        <v/>
      </c>
    </row>
    <row r="14">
      <c r="D14" t="inlineStr">
        <is>
          <t>中央値</t>
        </is>
      </c>
      <c r="E14">
        <f>IF(COUNT(F5:F8)=0,"-",MEDIAN(F5:F8))</f>
        <v/>
      </c>
    </row>
    <row r="15">
      <c r="D15" t="inlineStr">
        <is>
          <t>自社と中央値の差</t>
        </is>
      </c>
      <c r="E15">
        <f>IF(COUNT(F5:F8)=0,"-",B7-MEDIAN(F5:F8))</f>
        <v/>
      </c>
    </row>
    <row r="17">
      <c r="D17" s="2" t="inlineStr">
        <is>
          <t>※「未確定」は数値が無いという意味ではなく、店舗と金額の帰属を確認できていないという意味です。</t>
        </is>
      </c>
    </row>
    <row r="18">
      <c r="D18" s="2" t="inlineStr">
        <is>
          <t>※距離は未計測です。今回の調査範囲外としています。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" customWidth="1" min="3" max="3"/>
    <col width="16" customWidth="1" min="4" max="4"/>
    <col width="26" customWidth="1" min="5" max="5"/>
    <col width="11" customWidth="1" min="6" max="6"/>
    <col width="48" customWidth="1" min="7" max="7"/>
    <col width="22" customWidth="1" min="8" max="8"/>
    <col width="10" customWidth="1" min="9" max="9"/>
  </cols>
  <sheetData>
    <row r="1">
      <c r="A1" s="6" t="inlineStr">
        <is>
          <t>資さんうどん 佐賀兵庫店　周辺時給調査</t>
        </is>
      </c>
    </row>
    <row r="2">
      <c r="A2" s="2" t="inlineStr">
        <is>
          <t>住所：佐賀県佐賀市兵庫町大字藤木1487-4　TEL：0952-97-5501　調査日：2026-07-31</t>
        </is>
      </c>
    </row>
    <row r="4">
      <c r="A4" s="11" t="inlineStr">
        <is>
          <t>佐賀県最低賃金</t>
        </is>
      </c>
      <c r="B4" s="12" t="n">
        <v>1030</v>
      </c>
      <c r="D4" s="3" t="inlineStr">
        <is>
          <t>区分</t>
        </is>
      </c>
      <c r="E4" s="3" t="inlineStr">
        <is>
          <t>店舗名</t>
        </is>
      </c>
      <c r="F4" s="3" t="inlineStr">
        <is>
          <t>基本時給</t>
        </is>
      </c>
      <c r="G4" s="3" t="inlineStr">
        <is>
          <t>その他条件</t>
        </is>
      </c>
      <c r="H4" s="3" t="inlineStr">
        <is>
          <t>証明レベル</t>
        </is>
      </c>
      <c r="I4" s="3" t="inlineStr">
        <is>
          <t>距離</t>
        </is>
      </c>
    </row>
    <row r="5">
      <c r="A5" s="12" t="inlineStr">
        <is>
          <t>発効日</t>
        </is>
      </c>
      <c r="B5" s="12" t="inlineStr">
        <is>
          <t>2025-11-21</t>
        </is>
      </c>
      <c r="D5" s="7" t="inlineStr">
        <is>
          <t>うどん(直接競合)</t>
        </is>
      </c>
      <c r="E5" s="7" t="inlineStr">
        <is>
          <t>うどんウエスト 佐賀光法店</t>
        </is>
      </c>
      <c r="F5" s="7">
        <f>IF(調査台帳!N30="媒体掲載値",調査台帳!G30,"未確定")</f>
        <v/>
      </c>
      <c r="G5" s="8" t="inlineStr">
        <is>
          <t>うどんコーナー 1,150円～／高校生 1,030円～</t>
        </is>
      </c>
      <c r="H5" s="7">
        <f>調査台帳!N30</f>
        <v/>
      </c>
      <c r="I5" s="7" t="inlineStr">
        <is>
          <t>未計測</t>
        </is>
      </c>
    </row>
    <row r="6">
      <c r="D6" s="7" t="inlineStr">
        <is>
          <t>商業施設内飲食</t>
        </is>
      </c>
      <c r="E6" s="7" t="inlineStr">
        <is>
          <t>天麩羅こむぎ モラージュ佐賀</t>
        </is>
      </c>
      <c r="F6" s="7">
        <f>IF(調査台帳!N31="媒体掲載値",調査台帳!G31,"未確定")</f>
        <v/>
      </c>
      <c r="G6" s="8" t="inlineStr">
        <is>
          <t>1,050円以上／高校生可</t>
        </is>
      </c>
      <c r="H6" s="7">
        <f>調査台帳!N31</f>
        <v/>
      </c>
      <c r="I6" s="7" t="inlineStr">
        <is>
          <t>未計測</t>
        </is>
      </c>
    </row>
    <row r="7">
      <c r="A7" s="13" t="inlineStr">
        <is>
          <t>佐賀兵庫店 現行時給</t>
        </is>
      </c>
      <c r="B7" s="14" t="n">
        <v>1030</v>
      </c>
      <c r="D7" s="9" t="inlineStr">
        <is>
          <t>うどん(直接競合)</t>
        </is>
      </c>
      <c r="E7" s="9" t="inlineStr">
        <is>
          <t>丸亀製麺 佐賀店</t>
        </is>
      </c>
      <c r="F7" s="9">
        <f>IF(調査台帳!N32="媒体掲載値",調査台帳!G32,"未確定")</f>
        <v/>
      </c>
      <c r="G7" s="10" t="inlineStr">
        <is>
          <t>ホールスタッフ 1,000円～／22時以降25%UP</t>
        </is>
      </c>
      <c r="H7" s="9">
        <f>調査台帳!N32</f>
        <v/>
      </c>
      <c r="I7" s="9" t="inlineStr">
        <is>
          <t>未計測</t>
        </is>
      </c>
    </row>
    <row r="8">
      <c r="A8" s="14" t="inlineStr">
        <is>
          <t>深夜時給(22-5時)</t>
        </is>
      </c>
      <c r="B8" s="14" t="n">
        <v>1288</v>
      </c>
      <c r="D8" s="7" t="inlineStr">
        <is>
          <t>ファストフード</t>
        </is>
      </c>
      <c r="E8" s="7" t="inlineStr">
        <is>
          <t>ロッテリア モラージュ佐賀店</t>
        </is>
      </c>
      <c r="F8" s="7">
        <f>IF(調査台帳!N33="媒体掲載値",調査台帳!G33,"未確定")</f>
        <v/>
      </c>
      <c r="G8" s="8" t="inlineStr">
        <is>
          <t>時給の記載を取得できず</t>
        </is>
      </c>
      <c r="H8" s="7">
        <f>調査台帳!N33</f>
        <v/>
      </c>
      <c r="I8" s="7" t="inlineStr">
        <is>
          <t>未計測</t>
        </is>
      </c>
    </row>
    <row r="9">
      <c r="A9" s="14" t="inlineStr">
        <is>
          <t>土日祝加算</t>
        </is>
      </c>
      <c r="B9" s="14" t="n">
        <v>130</v>
      </c>
    </row>
    <row r="10">
      <c r="A10" s="14" t="inlineStr">
        <is>
          <t>土日祝 実質時給</t>
        </is>
      </c>
      <c r="B10" s="14">
        <f>B7+B9</f>
        <v/>
      </c>
      <c r="D10" s="5" t="inlineStr">
        <is>
          <t>周辺相場(採用できた値のみ)</t>
        </is>
      </c>
    </row>
    <row r="11">
      <c r="A11" s="14" t="inlineStr">
        <is>
          <t>最低賃金との差</t>
        </is>
      </c>
      <c r="B11" s="14">
        <f>B7-B4</f>
        <v/>
      </c>
      <c r="D11" t="inlineStr">
        <is>
          <t>件数</t>
        </is>
      </c>
      <c r="E11">
        <f>COUNT(F5:F8)</f>
        <v/>
      </c>
    </row>
    <row r="12">
      <c r="A12" s="14" t="inlineStr">
        <is>
          <t>証明レベル</t>
        </is>
      </c>
      <c r="B12" s="14" t="inlineStr">
        <is>
          <t>実額確認済み(社内データ)</t>
        </is>
      </c>
      <c r="D12" t="inlineStr">
        <is>
          <t>最安</t>
        </is>
      </c>
      <c r="E12">
        <f>IF(COUNT(F5:F8)=0,"-",MIN(F5:F8))</f>
        <v/>
      </c>
    </row>
    <row r="13">
      <c r="D13" t="inlineStr">
        <is>
          <t>最高</t>
        </is>
      </c>
      <c r="E13">
        <f>IF(COUNT(F5:F8)=0,"-",MAX(F5:F8))</f>
        <v/>
      </c>
    </row>
    <row r="14">
      <c r="D14" t="inlineStr">
        <is>
          <t>中央値</t>
        </is>
      </c>
      <c r="E14">
        <f>IF(COUNT(F5:F8)=0,"-",MEDIAN(F5:F8))</f>
        <v/>
      </c>
    </row>
    <row r="15">
      <c r="D15" t="inlineStr">
        <is>
          <t>自社と中央値の差</t>
        </is>
      </c>
      <c r="E15">
        <f>IF(COUNT(F5:F8)=0,"-",B7-MEDIAN(F5:F8))</f>
        <v/>
      </c>
    </row>
    <row r="17">
      <c r="D17" s="2" t="inlineStr">
        <is>
          <t>※「未確定」は数値が無いという意味ではなく、店舗と金額の帰属を確認できていないという意味です。</t>
        </is>
      </c>
    </row>
    <row r="18">
      <c r="D18" s="2" t="inlineStr">
        <is>
          <t>※距離は未計測です。今回の調査範囲外としています。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" customWidth="1" min="3" max="3"/>
    <col width="16" customWidth="1" min="4" max="4"/>
    <col width="26" customWidth="1" min="5" max="5"/>
    <col width="11" customWidth="1" min="6" max="6"/>
    <col width="48" customWidth="1" min="7" max="7"/>
    <col width="22" customWidth="1" min="8" max="8"/>
    <col width="10" customWidth="1" min="9" max="9"/>
  </cols>
  <sheetData>
    <row r="1">
      <c r="A1" s="6" t="inlineStr">
        <is>
          <t>資さんうどん 宮崎阿波岐原店　周辺時給調査</t>
        </is>
      </c>
    </row>
    <row r="2">
      <c r="A2" s="2" t="inlineStr">
        <is>
          <t>住所：宮崎県宮崎市阿波岐原町請田2420　TEL：0985-65-3393　調査日：2026-07-31</t>
        </is>
      </c>
    </row>
    <row r="4">
      <c r="A4" s="11" t="inlineStr">
        <is>
          <t>宮崎県最低賃金</t>
        </is>
      </c>
      <c r="B4" s="12" t="n">
        <v>1023</v>
      </c>
      <c r="D4" s="3" t="inlineStr">
        <is>
          <t>区分</t>
        </is>
      </c>
      <c r="E4" s="3" t="inlineStr">
        <is>
          <t>店舗名</t>
        </is>
      </c>
      <c r="F4" s="3" t="inlineStr">
        <is>
          <t>基本時給</t>
        </is>
      </c>
      <c r="G4" s="3" t="inlineStr">
        <is>
          <t>その他条件</t>
        </is>
      </c>
      <c r="H4" s="3" t="inlineStr">
        <is>
          <t>証明レベル</t>
        </is>
      </c>
      <c r="I4" s="3" t="inlineStr">
        <is>
          <t>距離</t>
        </is>
      </c>
    </row>
    <row r="5">
      <c r="A5" s="12" t="inlineStr">
        <is>
          <t>発効日</t>
        </is>
      </c>
      <c r="B5" s="12" t="inlineStr">
        <is>
          <t>2025-11-16</t>
        </is>
      </c>
      <c r="D5" s="7" t="inlineStr">
        <is>
          <t>うどん(直接競合)</t>
        </is>
      </c>
      <c r="E5" s="7" t="inlineStr">
        <is>
          <t>丸亀製麺 イオンモール宮崎店</t>
        </is>
      </c>
      <c r="F5" s="7">
        <f>IF(調査台帳!N34="媒体掲載値",調査台帳!G34,"未確定")</f>
        <v/>
      </c>
      <c r="G5" s="8" t="inlineStr">
        <is>
          <t>1,100円～／12/31・1/2・1/3は+200円、1/1は+300円</t>
        </is>
      </c>
      <c r="H5" s="7">
        <f>調査台帳!N34</f>
        <v/>
      </c>
      <c r="I5" s="7" t="inlineStr">
        <is>
          <t>未計測</t>
        </is>
      </c>
    </row>
    <row r="6">
      <c r="D6" s="7" t="inlineStr">
        <is>
          <t>ファミレス</t>
        </is>
      </c>
      <c r="E6" s="7" t="inlineStr">
        <is>
          <t>ジョイフル 宮崎田野店</t>
        </is>
      </c>
      <c r="F6" s="7">
        <f>IF(調査台帳!N35="媒体掲載値",調査台帳!G35,"未確定")</f>
        <v/>
      </c>
      <c r="G6" s="8" t="inlineStr">
        <is>
          <t>求人表示 1,073～1,467円／日祝+50円</t>
        </is>
      </c>
      <c r="H6" s="7">
        <f>調査台帳!N35</f>
        <v/>
      </c>
      <c r="I6" s="7" t="inlineStr">
        <is>
          <t>未計測</t>
        </is>
      </c>
    </row>
    <row r="7">
      <c r="A7" s="11" t="inlineStr">
        <is>
          <t>宮崎阿波岐原店 現行時給</t>
        </is>
      </c>
      <c r="B7" s="15" t="inlineStr">
        <is>
          <t>未提供</t>
        </is>
      </c>
      <c r="D7" s="9" t="inlineStr">
        <is>
          <t>うどん(直接競合)</t>
        </is>
      </c>
      <c r="E7" s="9" t="inlineStr">
        <is>
          <t>丸亀製麺 宮崎住吉店</t>
        </is>
      </c>
      <c r="F7" s="9">
        <f>IF(調査台帳!N36="媒体掲載値",調査台帳!G36,"未確定")</f>
        <v/>
      </c>
      <c r="G7" s="10" t="inlineStr">
        <is>
          <t>1,000円～／22時以降25%UP</t>
        </is>
      </c>
      <c r="H7" s="9">
        <f>調査台帳!N36</f>
        <v/>
      </c>
      <c r="I7" s="9" t="inlineStr">
        <is>
          <t>未計測</t>
        </is>
      </c>
    </row>
    <row r="8">
      <c r="A8" s="12" t="inlineStr">
        <is>
          <t>備考</t>
        </is>
      </c>
      <c r="B8" s="16" t="inlineStr">
        <is>
          <t>社内データ未提供。公開求人の1,000円は最低賃金割れの旧掲載のため採用不可</t>
        </is>
      </c>
      <c r="D8" s="9" t="inlineStr">
        <is>
          <t>うどん(直接競合)</t>
        </is>
      </c>
      <c r="E8" s="9" t="inlineStr">
        <is>
          <t>丸亀製麺 宮崎店</t>
        </is>
      </c>
      <c r="F8" s="9">
        <f>IF(調査台帳!N37="媒体掲載値",調査台帳!G37,"未確定")</f>
        <v/>
      </c>
      <c r="G8" s="10" t="inlineStr">
        <is>
          <t>開店準備・仕込みスタッフ 950円～</t>
        </is>
      </c>
      <c r="H8" s="9">
        <f>調査台帳!N37</f>
        <v/>
      </c>
      <c r="I8" s="9" t="inlineStr">
        <is>
          <t>未計測</t>
        </is>
      </c>
    </row>
    <row r="9">
      <c r="A9" s="12" t="inlineStr">
        <is>
          <t>土日祝加算</t>
        </is>
      </c>
      <c r="B9" s="12" t="n">
        <v>130</v>
      </c>
      <c r="D9" s="9" t="inlineStr">
        <is>
          <t>牛丼</t>
        </is>
      </c>
      <c r="E9" s="9" t="inlineStr">
        <is>
          <t>すき家(宮崎市内)</t>
        </is>
      </c>
      <c r="F9" s="9">
        <f>IF(調査台帳!N38="媒体掲載値",調査台帳!G38,"未確定")</f>
        <v/>
      </c>
      <c r="G9" s="10" t="inlineStr">
        <is>
          <t>高校生1,023円／深夜1,350円／早朝+150円／通常1,080円～。新別府店・大島店・郡司分店が混在</t>
        </is>
      </c>
      <c r="H9" s="9">
        <f>調査台帳!N38</f>
        <v/>
      </c>
      <c r="I9" s="9" t="inlineStr">
        <is>
          <t>未計測</t>
        </is>
      </c>
    </row>
    <row r="10">
      <c r="D10" s="9" t="inlineStr">
        <is>
          <t>商業施設内飲食</t>
        </is>
      </c>
      <c r="E10" s="9" t="inlineStr">
        <is>
          <t>イオンモール宮崎(飲食テナント)</t>
        </is>
      </c>
      <c r="F10" s="9">
        <f>IF(調査台帳!N39="媒体掲載値",調査台帳!G39,"未確定")</f>
        <v/>
      </c>
      <c r="G10" s="10" t="inlineStr">
        <is>
          <t>施設全体で飲食1,200円～・カフェ960円以上</t>
        </is>
      </c>
      <c r="H10" s="9">
        <f>調査台帳!N39</f>
        <v/>
      </c>
      <c r="I10" s="9" t="inlineStr">
        <is>
          <t>未計測</t>
        </is>
      </c>
    </row>
    <row r="11"/>
    <row r="12">
      <c r="A12" s="12" t="inlineStr">
        <is>
          <t>証明レベル</t>
        </is>
      </c>
      <c r="B12" s="15" t="inlineStr">
        <is>
          <t>取得不能</t>
        </is>
      </c>
      <c r="D12" s="5" t="inlineStr">
        <is>
          <t>周辺相場(採用できた値のみ)</t>
        </is>
      </c>
    </row>
    <row r="13">
      <c r="D13" t="inlineStr">
        <is>
          <t>件数</t>
        </is>
      </c>
      <c r="E13">
        <f>COUNT(F5:F10)</f>
        <v/>
      </c>
    </row>
    <row r="14">
      <c r="D14" t="inlineStr">
        <is>
          <t>最安</t>
        </is>
      </c>
      <c r="E14">
        <f>IF(COUNT(F5:F10)=0,"-",MIN(F5:F10))</f>
        <v/>
      </c>
    </row>
    <row r="15">
      <c r="D15" t="inlineStr">
        <is>
          <t>最高</t>
        </is>
      </c>
      <c r="E15">
        <f>IF(COUNT(F5:F10)=0,"-",MAX(F5:F10))</f>
        <v/>
      </c>
    </row>
    <row r="16">
      <c r="D16" t="inlineStr">
        <is>
          <t>中央値</t>
        </is>
      </c>
      <c r="E16">
        <f>IF(COUNT(F5:F10)=0,"-",MEDIAN(F5:F10))</f>
        <v/>
      </c>
    </row>
    <row r="17">
      <c r="D17" t="inlineStr">
        <is>
          <t>自社と中央値の差</t>
        </is>
      </c>
      <c r="E17" t="inlineStr">
        <is>
          <t>自社時給が未提供のため算出不可</t>
        </is>
      </c>
    </row>
    <row r="19">
      <c r="D19" s="2" t="inlineStr">
        <is>
          <t>※「未確定」は数値が無いという意味ではなく、店舗と金額の帰属を確認できていないという意味です。</t>
        </is>
      </c>
    </row>
    <row r="20">
      <c r="D20" s="2" t="inlineStr">
        <is>
          <t>※距離は未計測です。今回の調査範囲外としています。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12" customWidth="1" min="4" max="4"/>
    <col width="46" customWidth="1" min="5" max="5"/>
  </cols>
  <sheetData>
    <row r="1">
      <c r="A1" s="6" t="inlineStr">
        <is>
          <t>自動検証チェック</t>
        </is>
      </c>
    </row>
    <row r="2">
      <c r="A2" s="2" t="inlineStr">
        <is>
          <t>このシートは調査台帳を数式で集計し、取り違え事故の再現テストを実行します。『最終警告数』が0でなければ、確定版として使用しないでください。</t>
        </is>
      </c>
    </row>
    <row r="4">
      <c r="A4" s="3" t="inlineStr">
        <is>
          <t>集計項目</t>
        </is>
      </c>
      <c r="B4" s="3" t="inlineStr">
        <is>
          <t>件数</t>
        </is>
      </c>
      <c r="C4" s="3" t="inlineStr">
        <is>
          <t>意味</t>
        </is>
      </c>
      <c r="D4" s="3" t="inlineStr">
        <is>
          <t>判定</t>
        </is>
      </c>
      <c r="E4" s="3" t="inlineStr">
        <is>
          <t>備考</t>
        </is>
      </c>
    </row>
    <row r="5">
      <c r="A5" s="12" t="inlineStr">
        <is>
          <t>台帳の総レコード数</t>
        </is>
      </c>
      <c r="B5" s="12">
        <f>COUNTA(調査台帳!$A$6:$A$39)</f>
        <v/>
      </c>
      <c r="C5" s="12" t="inlineStr">
        <is>
          <t>調査対象として立てた件数</t>
        </is>
      </c>
      <c r="D5" s="12" t="n"/>
      <c r="E5" s="16" t="inlineStr"/>
    </row>
    <row r="6">
      <c r="A6" s="12" t="inlineStr">
        <is>
          <t>媒体掲載値として採用</t>
        </is>
      </c>
      <c r="B6" s="12">
        <f>COUNTIF(調査台帳!$N$6:$N$39,"媒体掲載値")</f>
        <v/>
      </c>
      <c r="C6" s="12" t="inlineStr">
        <is>
          <t>店舗と金額の帰属を確認できた件数</t>
        </is>
      </c>
      <c r="D6" s="12" t="n"/>
      <c r="E6" s="16" t="inlineStr">
        <is>
          <t>これのみ主表に数値表示される</t>
        </is>
      </c>
    </row>
    <row r="7">
      <c r="A7" s="12" t="inlineStr">
        <is>
          <t>未確定(最低賃金割れ)</t>
        </is>
      </c>
      <c r="B7" s="12">
        <f>COUNTIF(調査台帳!$N$6:$N$39,"未確定(最低賃金割れ)")</f>
        <v/>
      </c>
      <c r="C7" s="12" t="inlineStr">
        <is>
          <t>旧掲載の疑いで自動除外</t>
        </is>
      </c>
      <c r="D7" s="12" t="n"/>
      <c r="E7" s="16" t="inlineStr">
        <is>
          <t>改定前の求人が残っているもの</t>
        </is>
      </c>
    </row>
    <row r="8">
      <c r="A8" s="12" t="inlineStr">
        <is>
          <t>未確定(店舗非固有)</t>
        </is>
      </c>
      <c r="B8" s="12">
        <f>COUNTIF(調査台帳!$N$6:$N$39,"未確定(店舗非固有)")</f>
        <v/>
      </c>
      <c r="C8" s="12" t="inlineStr">
        <is>
          <t>ブランド共通レンジのため除外</t>
        </is>
      </c>
      <c r="D8" s="12" t="n"/>
      <c r="E8" s="16" t="inlineStr">
        <is>
          <t>南柏店サイゼリヤと同型の事故を防ぐ</t>
        </is>
      </c>
    </row>
    <row r="9">
      <c r="A9" s="12" t="inlineStr">
        <is>
          <t>未確定(施設一般値)</t>
        </is>
      </c>
      <c r="B9" s="12">
        <f>COUNTIF(調査台帳!$N$6:$N$39,"未確定(施設一般値)")</f>
        <v/>
      </c>
      <c r="C9" s="12" t="inlineStr">
        <is>
          <t>商業施設全体の値のため除外</t>
        </is>
      </c>
      <c r="D9" s="12" t="n"/>
      <c r="E9" s="16" t="inlineStr"/>
    </row>
    <row r="10">
      <c r="A10" s="12" t="inlineStr">
        <is>
          <t>未確定(近隣欄からの抽出)</t>
        </is>
      </c>
      <c r="B10" s="12">
        <f>COUNTIF(調査台帳!$N$6:$N$39,"未確定(近隣欄からの抽出)")</f>
        <v/>
      </c>
      <c r="C10" s="12" t="inlineStr">
        <is>
          <t>近隣求人欄の金額のため除外</t>
        </is>
      </c>
      <c r="D10" s="12" t="n"/>
      <c r="E10" s="16" t="inlineStr">
        <is>
          <t>南柏店の事故そのもののガード</t>
        </is>
      </c>
    </row>
    <row r="11">
      <c r="A11" s="12" t="inlineStr">
        <is>
          <t>未確定(店舗非特定)</t>
        </is>
      </c>
      <c r="B11" s="12">
        <f>COUNTIF(調査台帳!$N$6:$N$39,"未確定(店舗非特定)")</f>
        <v/>
      </c>
      <c r="C11" s="12" t="inlineStr">
        <is>
          <t>どの店舗の金額か特定できず除外</t>
        </is>
      </c>
      <c r="D11" s="12" t="n"/>
      <c r="E11" s="16" t="inlineStr"/>
    </row>
    <row r="12">
      <c r="A12" s="12" t="inlineStr">
        <is>
          <t>未確定(証拠不足)</t>
        </is>
      </c>
      <c r="B12" s="12">
        <f>COUNTIF(調査台帳!$N$6:$N$39,"未確定(証拠不足)")</f>
        <v/>
      </c>
      <c r="C12" s="12" t="inlineStr">
        <is>
          <t>証拠4点セットが揃わず除外</t>
        </is>
      </c>
      <c r="D12" s="12" t="n"/>
      <c r="E12" s="16" t="inlineStr"/>
    </row>
    <row r="13">
      <c r="A13" s="12" t="inlineStr">
        <is>
          <t>取得不能</t>
        </is>
      </c>
      <c r="B13" s="12">
        <f>COUNTIF(調査台帳!$N$6:$N$39,"取得不能")</f>
        <v/>
      </c>
      <c r="C13" s="12" t="inlineStr">
        <is>
          <t>時給そのものを取得できず</t>
        </is>
      </c>
      <c r="D13" s="12" t="n"/>
      <c r="E13" s="16" t="inlineStr"/>
    </row>
    <row r="14">
      <c r="A14" s="11" t="inlineStr">
        <is>
          <t>合計(内訳の和)</t>
        </is>
      </c>
      <c r="B14" s="12">
        <f>SUM(B6:B13)</f>
        <v/>
      </c>
      <c r="C14" s="12" t="inlineStr">
        <is>
          <t>総レコード数と一致すること</t>
        </is>
      </c>
      <c r="D14" s="12">
        <f>IF(B14=B5,"OK","NG")</f>
        <v/>
      </c>
      <c r="E14" s="12" t="n"/>
    </row>
    <row r="16">
      <c r="A16" s="17" t="inlineStr">
        <is>
          <t>店舗取り違え・旧掲載 再現テスト</t>
        </is>
      </c>
    </row>
    <row r="17">
      <c r="A17" s="2" t="inlineStr">
        <is>
          <t>台帳と同じ判定式に、過去の事故と同じ形のデータを流し込みます。すべてFAILにならないことを確認してください。</t>
        </is>
      </c>
    </row>
    <row r="18">
      <c r="A18" s="3" t="inlineStr">
        <is>
          <t>テスト内容</t>
        </is>
      </c>
      <c r="B18" s="3" t="inlineStr">
        <is>
          <t>投入した時給</t>
        </is>
      </c>
      <c r="C18" s="3" t="inlineStr">
        <is>
          <t>投入した取得元区分</t>
        </is>
      </c>
      <c r="D18" s="3" t="inlineStr">
        <is>
          <t>判定結果</t>
        </is>
      </c>
      <c r="E18" s="3" t="inlineStr">
        <is>
          <t>期待結果／合否</t>
        </is>
      </c>
    </row>
    <row r="19">
      <c r="A19" s="8" t="inlineStr">
        <is>
          <t>①ページタイトルはイオンモール柏、金額は近隣求人欄のららぽーと柏の葉1,300円</t>
        </is>
      </c>
      <c r="B19" s="7" t="n">
        <v>1300</v>
      </c>
      <c r="C19" s="7" t="inlineStr">
        <is>
          <t>近隣求人欄</t>
        </is>
      </c>
      <c r="D19" s="7">
        <f>IF(C19="ブランド共通","未確定(店舗非固有)",IF(C19="施設一般","未確定(施設一般値)",IF(C19="近隣求人欄","未確定(近隣欄からの抽出)",IF(C19="店舗非特定","未確定(店舗非特定)",IF(B19&lt;1140,"未確定(最低賃金割れ)","媒体掲載値")))))</f>
        <v/>
      </c>
      <c r="E19" s="7">
        <f>IF(LEFT(D19,3)="未確定","PASS(採用されない)","FAIL(採用されてしまう)")</f>
        <v/>
      </c>
    </row>
    <row r="20">
      <c r="A20" s="8" t="inlineStr">
        <is>
          <t>①-b ブランド共通レンジを店舗の通常時給として投入</t>
        </is>
      </c>
      <c r="B20" s="7" t="n">
        <v>1240</v>
      </c>
      <c r="C20" s="7" t="inlineStr">
        <is>
          <t>ブランド共通</t>
        </is>
      </c>
      <c r="D20" s="7">
        <f>IF(C20="ブランド共通","未確定(店舗非固有)",IF(C20="施設一般","未確定(施設一般値)",IF(C20="近隣求人欄","未確定(近隣欄からの抽出)",IF(C20="店舗非特定","未確定(店舗非特定)",IF(B20&lt;1057,"未確定(最低賃金割れ)","媒体掲載値")))))</f>
        <v/>
      </c>
      <c r="E20" s="7">
        <f>IF(LEFT(D20,3)="未確定","PASS(採用されない)","FAIL(採用されてしまう)")</f>
        <v/>
      </c>
    </row>
    <row r="21">
      <c r="A21" s="8" t="inlineStr">
        <is>
          <t>①-c どの店舗の値か特定できないまま投入</t>
        </is>
      </c>
      <c r="B21" s="7" t="n">
        <v>1042</v>
      </c>
      <c r="C21" s="7" t="inlineStr">
        <is>
          <t>店舗非特定</t>
        </is>
      </c>
      <c r="D21" s="7">
        <f>IF(C21="ブランド共通","未確定(店舗非固有)",IF(C21="施設一般","未確定(施設一般値)",IF(C21="近隣求人欄","未確定(近隣欄からの抽出)",IF(C21="店舗非特定","未確定(店舗非特定)",IF(B21&lt;1057,"未確定(最低賃金割れ)","媒体掲載値")))))</f>
        <v/>
      </c>
      <c r="E21" s="7">
        <f>IF(LEFT(D21,3)="未確定","PASS(採用されない)","FAIL(採用されてしまう)")</f>
        <v/>
      </c>
    </row>
    <row r="22">
      <c r="A22" s="8" t="inlineStr">
        <is>
          <t>②改定前の旧掲載（熊本1,034円に対し900円）</t>
        </is>
      </c>
      <c r="B22" s="7" t="n">
        <v>900</v>
      </c>
      <c r="C22" s="7" t="inlineStr">
        <is>
          <t>店舗固有求人</t>
        </is>
      </c>
      <c r="D22" s="7">
        <f>IF(C22="ブランド共通","未確定(店舗非固有)",IF(C22="施設一般","未確定(施設一般値)",IF(C22="近隣求人欄","未確定(近隣欄からの抽出)",IF(C22="店舗非特定","未確定(店舗非特定)",IF(B22&lt;1034,"未確定(最低賃金割れ)","媒体掲載値")))))</f>
        <v/>
      </c>
      <c r="E22" s="7">
        <f>IF(LEFT(D22,3)="未確定","PASS(採用されない)","FAIL(採用されてしまう)")</f>
        <v/>
      </c>
    </row>
    <row r="23">
      <c r="A23" s="8" t="inlineStr">
        <is>
          <t>③商業施設全体の一般値を特定テナントの時給として投入</t>
        </is>
      </c>
      <c r="B23" s="7" t="n">
        <v>1200</v>
      </c>
      <c r="C23" s="7" t="inlineStr">
        <is>
          <t>施設一般</t>
        </is>
      </c>
      <c r="D23" s="7">
        <f>IF(C23="ブランド共通","未確定(店舗非固有)",IF(C23="施設一般","未確定(施設一般値)",IF(C23="近隣求人欄","未確定(近隣欄からの抽出)",IF(C23="店舗非特定","未確定(店舗非特定)",IF(B23&lt;1023,"未確定(最低賃金割れ)","媒体掲載値")))))</f>
        <v/>
      </c>
      <c r="E23" s="7">
        <f>IF(LEFT(D23,3)="未確定","PASS(採用されない)","FAIL(採用されてしまう)")</f>
        <v/>
      </c>
    </row>
    <row r="24">
      <c r="A24" s="8" t="inlineStr">
        <is>
          <t>④店舗名・住所・求人ID・時給がすべて揃った正常データ</t>
        </is>
      </c>
      <c r="B24" s="7" t="n">
        <v>1150</v>
      </c>
      <c r="C24" s="7" t="inlineStr">
        <is>
          <t>店舗固有求人</t>
        </is>
      </c>
      <c r="D24" s="7">
        <f>IF(C24="ブランド共通","未確定(店舗非固有)",IF(C24="施設一般","未確定(施設一般値)",IF(C24="近隣求人欄","未確定(近隣欄からの抽出)",IF(C24="店舗非特定","未確定(店舗非特定)",IF(B24&lt;1030,"未確定(最低賃金割れ)","媒体掲載値")))))</f>
        <v/>
      </c>
      <c r="E24" s="7">
        <f>IF(D24="媒体掲載値","PASS(正常データは通る)","FAIL")</f>
        <v/>
      </c>
    </row>
    <row r="27">
      <c r="A27" s="18" t="inlineStr">
        <is>
          <t>最終警告数</t>
        </is>
      </c>
      <c r="B27" s="12">
        <f>COUNTIF(E19:E24,"FAIL*")+IF(D14="OK",0,1)</f>
        <v/>
      </c>
      <c r="C27" s="12" t="inlineStr">
        <is>
          <t>0件でなければ確定版として使用しない</t>
        </is>
      </c>
      <c r="D27" s="12">
        <f>IF(B27=0,"OK","NG")</f>
        <v/>
      </c>
    </row>
    <row r="29">
      <c r="A29" s="2" t="inlineStr">
        <is>
          <t>※このシートが検証できるのは「抽出の正しさ」だけです。求人情報そのものが古い・誤掲載である可能性はこの方法では検証できません。実際に支払われる時給を証明するには、店舗または採用本部への直接確認が必要です。</t>
        </is>
      </c>
    </row>
    <row r="30">
      <c r="A30" s="2" t="inlineStr">
        <is>
          <t>※自社時給のみ社内データに基づく「実額確認済み」です。競合はすべて「公開求人の掲載値」であり、実額ではありません。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2026-07-31T02:30:13Z</dcterms:created>
  <dcterms:modified xsi:type="dcterms:W3CDTF">2026-07-31T02:30:13Z</dcterms:modified>
</cp:coreProperties>
</file>