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調査台帳" sheetId="2" state="visible" r:id="rId2"/>
    <sheet name="陣山店" sheetId="3" state="visible" r:id="rId3"/>
    <sheet name="新池店" sheetId="4" state="visible" r:id="rId4"/>
    <sheet name="宗像店" sheetId="5" state="visible" r:id="rId5"/>
    <sheet name="菊陽店" sheetId="6" state="visible" r:id="rId6"/>
    <sheet name="鳥栖真木店" sheetId="7" state="visible" r:id="rId7"/>
    <sheet name="佐賀兵庫店" sheetId="8" state="visible" r:id="rId8"/>
    <sheet name="宮崎阿波岐原店" sheetId="9" state="visible" r:id="rId9"/>
    <sheet name="検証チェック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color rgb="00FFFFFF"/>
      <sz val="10"/>
    </font>
    <font>
      <b val="1"/>
    </font>
    <font/>
    <font>
      <b val="1"/>
      <sz val="14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1" fillId="0" borderId="0" pivotButton="0" quotePrefix="0" xfId="0"/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4" fillId="4" borderId="1" pivotButton="0" quotePrefix="0" xfId="0"/>
    <xf numFmtId="0" fontId="0" fillId="4" borderId="1" pivotButton="0" quotePrefix="0" xfId="0"/>
    <xf numFmtId="0" fontId="5" fillId="4" borderId="1" pivotButton="0" quotePrefix="0" xfId="0"/>
    <xf numFmtId="0" fontId="4" fillId="0" borderId="0" pivotButton="0" quotePrefix="0" xfId="0"/>
    <xf numFmtId="0" fontId="0" fillId="5" borderId="1" pivotButton="0" quotePrefix="0" xfId="0"/>
    <xf numFmtId="0" fontId="2" fillId="0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0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</cols>
  <sheetData>
    <row r="1">
      <c r="A1" s="1" t="inlineStr">
        <is>
          <t>資さんうどん 九州7店舗　周辺時給調査サマリー</t>
        </is>
      </c>
    </row>
    <row r="2">
      <c r="A2" s="2" t="inlineStr">
        <is>
          <t>調査日：2026-07-31　／　自社時給＝社内データ（実額確認済み）　／　周辺相場＝公開求人の掲載値（実額ではない）</t>
        </is>
      </c>
    </row>
    <row r="4">
      <c r="A4" s="3" t="inlineStr">
        <is>
          <t>店舗</t>
        </is>
      </c>
      <c r="B4" s="3" t="inlineStr">
        <is>
          <t>県</t>
        </is>
      </c>
      <c r="C4" s="3" t="inlineStr">
        <is>
          <t>県最低賃金</t>
        </is>
      </c>
      <c r="D4" s="3" t="inlineStr">
        <is>
          <t>自社時給</t>
        </is>
      </c>
      <c r="E4" s="3" t="inlineStr">
        <is>
          <t>最賃との差</t>
        </is>
      </c>
      <c r="F4" s="3" t="inlineStr">
        <is>
          <t>深夜時給</t>
        </is>
      </c>
      <c r="G4" s="3" t="inlineStr">
        <is>
          <t>土日祝加算</t>
        </is>
      </c>
      <c r="H4" s="3" t="inlineStr">
        <is>
          <t>土日祝実質</t>
        </is>
      </c>
      <c r="I4" s="3" t="inlineStr">
        <is>
          <t>調査件数</t>
        </is>
      </c>
      <c r="J4" s="3" t="inlineStr">
        <is>
          <t>採用件数</t>
        </is>
      </c>
      <c r="K4" s="3" t="inlineStr">
        <is>
          <t>周辺最安</t>
        </is>
      </c>
      <c r="L4" s="3" t="inlineStr">
        <is>
          <t>周辺中央値</t>
        </is>
      </c>
      <c r="M4" s="3" t="inlineStr">
        <is>
          <t>周辺最高</t>
        </is>
      </c>
      <c r="N4" s="3" t="inlineStr">
        <is>
          <t>自社-中央値</t>
        </is>
      </c>
      <c r="O4" s="3" t="inlineStr">
        <is>
          <t>自社の位置</t>
        </is>
      </c>
    </row>
    <row r="5">
      <c r="A5" s="4" t="inlineStr">
        <is>
          <t>陣山店</t>
        </is>
      </c>
      <c r="B5" s="4" t="inlineStr">
        <is>
          <t>福岡県</t>
        </is>
      </c>
      <c r="C5" s="4" t="n">
        <v>1057</v>
      </c>
      <c r="D5" s="4" t="n">
        <v>1057</v>
      </c>
      <c r="E5" s="4">
        <f>D5-C5</f>
        <v/>
      </c>
      <c r="F5" s="4" t="n">
        <v>1322</v>
      </c>
      <c r="G5" s="4" t="n">
        <v>130</v>
      </c>
      <c r="H5" s="4">
        <f>D5+G5</f>
        <v/>
      </c>
      <c r="I5" s="4" t="n">
        <v>15</v>
      </c>
      <c r="J5" s="4">
        <f>'陣山店'!E15</f>
        <v/>
      </c>
      <c r="K5" s="4">
        <f>'陣山店'!E16</f>
        <v/>
      </c>
      <c r="L5" s="4">
        <f>'陣山店'!E17</f>
        <v/>
      </c>
      <c r="M5" s="4">
        <f>'陣山店'!E18</f>
        <v/>
      </c>
      <c r="N5" s="4">
        <f>'陣山店'!E19</f>
        <v/>
      </c>
      <c r="O5" s="4">
        <f>IF(NOT(ISNUMBER(N5)),"判定不可",IF(N5&lt;0,"周辺より低い",IF(N5=0,"同水準","周辺より高い")))</f>
        <v/>
      </c>
    </row>
    <row r="6">
      <c r="A6" s="4" t="inlineStr">
        <is>
          <t>新池店</t>
        </is>
      </c>
      <c r="B6" s="4" t="inlineStr">
        <is>
          <t>福岡県</t>
        </is>
      </c>
      <c r="C6" s="4" t="n">
        <v>1057</v>
      </c>
      <c r="D6" s="4" t="n">
        <v>1057</v>
      </c>
      <c r="E6" s="4">
        <f>D6-C6</f>
        <v/>
      </c>
      <c r="F6" s="4" t="n">
        <v>1322</v>
      </c>
      <c r="G6" s="4" t="n">
        <v>130</v>
      </c>
      <c r="H6" s="4">
        <f>D6+G6</f>
        <v/>
      </c>
      <c r="I6" s="4" t="n">
        <v>15</v>
      </c>
      <c r="J6" s="4">
        <f>'新池店'!E15</f>
        <v/>
      </c>
      <c r="K6" s="4">
        <f>'新池店'!E16</f>
        <v/>
      </c>
      <c r="L6" s="4">
        <f>'新池店'!E17</f>
        <v/>
      </c>
      <c r="M6" s="4">
        <f>'新池店'!E18</f>
        <v/>
      </c>
      <c r="N6" s="4">
        <f>'新池店'!E19</f>
        <v/>
      </c>
      <c r="O6" s="4">
        <f>IF(NOT(ISNUMBER(N6)),"判定不可",IF(N6&lt;0,"周辺より低い",IF(N6=0,"同水準","周辺より高い")))</f>
        <v/>
      </c>
    </row>
    <row r="7">
      <c r="A7" s="4" t="inlineStr">
        <is>
          <t>宗像店</t>
        </is>
      </c>
      <c r="B7" s="4" t="inlineStr">
        <is>
          <t>福岡県</t>
        </is>
      </c>
      <c r="C7" s="4" t="n">
        <v>1057</v>
      </c>
      <c r="D7" s="4" t="n">
        <v>1057</v>
      </c>
      <c r="E7" s="4">
        <f>D7-C7</f>
        <v/>
      </c>
      <c r="F7" s="4" t="n">
        <v>1322</v>
      </c>
      <c r="G7" s="4" t="n">
        <v>130</v>
      </c>
      <c r="H7" s="4">
        <f>D7+G7</f>
        <v/>
      </c>
      <c r="I7" s="4" t="n">
        <v>12</v>
      </c>
      <c r="J7" s="4">
        <f>'宗像店'!E13</f>
        <v/>
      </c>
      <c r="K7" s="4">
        <f>'宗像店'!E14</f>
        <v/>
      </c>
      <c r="L7" s="4">
        <f>'宗像店'!E15</f>
        <v/>
      </c>
      <c r="M7" s="4">
        <f>'宗像店'!E16</f>
        <v/>
      </c>
      <c r="N7" s="4">
        <f>'宗像店'!E17</f>
        <v/>
      </c>
      <c r="O7" s="4">
        <f>IF(NOT(ISNUMBER(N7)),"判定不可",IF(N7&lt;0,"周辺より低い",IF(N7=0,"同水準","周辺より高い")))</f>
        <v/>
      </c>
    </row>
    <row r="8">
      <c r="A8" s="4" t="inlineStr">
        <is>
          <t>菊陽店</t>
        </is>
      </c>
      <c r="B8" s="4" t="inlineStr">
        <is>
          <t>熊本県</t>
        </is>
      </c>
      <c r="C8" s="4" t="n">
        <v>1034</v>
      </c>
      <c r="D8" s="4" t="n">
        <v>1034</v>
      </c>
      <c r="E8" s="4">
        <f>D8-C8</f>
        <v/>
      </c>
      <c r="F8" s="4" t="n">
        <v>1293</v>
      </c>
      <c r="G8" s="4" t="n">
        <v>130</v>
      </c>
      <c r="H8" s="4">
        <f>D8+G8</f>
        <v/>
      </c>
      <c r="I8" s="4" t="n">
        <v>12</v>
      </c>
      <c r="J8" s="4">
        <f>'菊陽店'!E13</f>
        <v/>
      </c>
      <c r="K8" s="4">
        <f>'菊陽店'!E14</f>
        <v/>
      </c>
      <c r="L8" s="4">
        <f>'菊陽店'!E15</f>
        <v/>
      </c>
      <c r="M8" s="4">
        <f>'菊陽店'!E16</f>
        <v/>
      </c>
      <c r="N8" s="4">
        <f>'菊陽店'!E17</f>
        <v/>
      </c>
      <c r="O8" s="4">
        <f>IF(NOT(ISNUMBER(N8)),"判定不可",IF(N8&lt;0,"周辺より低い",IF(N8=0,"同水準","周辺より高い")))</f>
        <v/>
      </c>
    </row>
    <row r="9">
      <c r="A9" s="4" t="inlineStr">
        <is>
          <t>鳥栖真木店</t>
        </is>
      </c>
      <c r="B9" s="4" t="inlineStr">
        <is>
          <t>佐賀県</t>
        </is>
      </c>
      <c r="C9" s="4" t="n">
        <v>1030</v>
      </c>
      <c r="D9" s="4" t="n">
        <v>1030</v>
      </c>
      <c r="E9" s="4">
        <f>D9-C9</f>
        <v/>
      </c>
      <c r="F9" s="4" t="n">
        <v>1288</v>
      </c>
      <c r="G9" s="4" t="n">
        <v>130</v>
      </c>
      <c r="H9" s="4">
        <f>D9+G9</f>
        <v/>
      </c>
      <c r="I9" s="4" t="n">
        <v>11</v>
      </c>
      <c r="J9" s="4">
        <f>'鳥栖真木店'!E13</f>
        <v/>
      </c>
      <c r="K9" s="4">
        <f>'鳥栖真木店'!E14</f>
        <v/>
      </c>
      <c r="L9" s="4">
        <f>'鳥栖真木店'!E15</f>
        <v/>
      </c>
      <c r="M9" s="4">
        <f>'鳥栖真木店'!E16</f>
        <v/>
      </c>
      <c r="N9" s="4">
        <f>'鳥栖真木店'!E17</f>
        <v/>
      </c>
      <c r="O9" s="4">
        <f>IF(NOT(ISNUMBER(N9)),"判定不可",IF(N9&lt;0,"周辺より低い",IF(N9=0,"同水準","周辺より高い")))</f>
        <v/>
      </c>
    </row>
    <row r="10">
      <c r="A10" s="4" t="inlineStr">
        <is>
          <t>佐賀兵庫店</t>
        </is>
      </c>
      <c r="B10" s="4" t="inlineStr">
        <is>
          <t>佐賀県</t>
        </is>
      </c>
      <c r="C10" s="4" t="n">
        <v>1030</v>
      </c>
      <c r="D10" s="4" t="n">
        <v>1030</v>
      </c>
      <c r="E10" s="4">
        <f>D10-C10</f>
        <v/>
      </c>
      <c r="F10" s="4" t="n">
        <v>1288</v>
      </c>
      <c r="G10" s="4" t="n">
        <v>130</v>
      </c>
      <c r="H10" s="4">
        <f>D10+G10</f>
        <v/>
      </c>
      <c r="I10" s="4" t="n">
        <v>13</v>
      </c>
      <c r="J10" s="4">
        <f>'佐賀兵庫店'!E14</f>
        <v/>
      </c>
      <c r="K10" s="4">
        <f>'佐賀兵庫店'!E15</f>
        <v/>
      </c>
      <c r="L10" s="4">
        <f>'佐賀兵庫店'!E16</f>
        <v/>
      </c>
      <c r="M10" s="4">
        <f>'佐賀兵庫店'!E17</f>
        <v/>
      </c>
      <c r="N10" s="4">
        <f>'佐賀兵庫店'!E18</f>
        <v/>
      </c>
      <c r="O10" s="4">
        <f>IF(NOT(ISNUMBER(N10)),"判定不可",IF(N10&lt;0,"周辺より低い",IF(N10=0,"同水準","周辺より高い")))</f>
        <v/>
      </c>
    </row>
    <row r="11">
      <c r="A11" s="4" t="inlineStr">
        <is>
          <t>宮崎阿波岐原店</t>
        </is>
      </c>
      <c r="B11" s="4" t="inlineStr">
        <is>
          <t>宮崎県</t>
        </is>
      </c>
      <c r="C11" s="4" t="n">
        <v>1023</v>
      </c>
      <c r="D11" s="4" t="n">
        <v>1050</v>
      </c>
      <c r="E11" s="4">
        <f>D11-C11</f>
        <v/>
      </c>
      <c r="F11" s="4" t="n">
        <v>1313</v>
      </c>
      <c r="G11" s="4" t="n">
        <v>130</v>
      </c>
      <c r="H11" s="4">
        <f>D11+G11</f>
        <v/>
      </c>
      <c r="I11" s="4" t="n">
        <v>13</v>
      </c>
      <c r="J11" s="4">
        <f>'宮崎阿波岐原店'!E14</f>
        <v/>
      </c>
      <c r="K11" s="4">
        <f>'宮崎阿波岐原店'!E15</f>
        <v/>
      </c>
      <c r="L11" s="4">
        <f>'宮崎阿波岐原店'!E16</f>
        <v/>
      </c>
      <c r="M11" s="4">
        <f>'宮崎阿波岐原店'!E17</f>
        <v/>
      </c>
      <c r="N11" s="4">
        <f>'宮崎阿波岐原店'!E18</f>
        <v/>
      </c>
      <c r="O11" s="4">
        <f>IF(NOT(ISNUMBER(N11)),"判定不可",IF(N11&lt;0,"周辺より低い",IF(N11=0,"同水準","周辺より高い")))</f>
        <v/>
      </c>
    </row>
    <row r="13">
      <c r="A13" s="5" t="inlineStr">
        <is>
          <t>所見</t>
        </is>
      </c>
    </row>
    <row r="14">
      <c r="A14" s="2" t="inlineStr">
        <is>
          <t>1. 6店舗（陣山・新池・宗像・菊陽・鳥栖真木・佐賀兵庫）の時給は、県の地域別最低賃金と1円単位で同額です。差は0円です。</t>
        </is>
      </c>
    </row>
    <row r="15">
      <c r="A15" s="2" t="inlineStr">
        <is>
          <t>2. 宮崎阿波岐原店だけが最低賃金より27円高い1,050円で、7店舗の中で唯一の例外です。</t>
        </is>
      </c>
    </row>
    <row r="16">
      <c r="A16" s="2" t="inlineStr">
        <is>
          <t>3. 深夜時給は全店とも 基本時給×1.25 の切り上げで、社内データ内の整合は取れています。</t>
        </is>
      </c>
    </row>
    <row r="17">
      <c r="A17" s="2" t="inlineStr">
        <is>
          <t>4. 全7店舗が周辺相場の中央値を下回りました。北九州（陣山・新池）は僅差ですが、佐賀・熊本で開きが大きくなっています。</t>
        </is>
      </c>
    </row>
    <row r="18">
      <c r="A18" s="2" t="inlineStr">
        <is>
          <t>5. 宮崎阿波岐原店の公開求人は平日1,000円のままで、社内データの1,050円と食い違います。1,000円は宮崎県の最低賃金1,023円を</t>
        </is>
      </c>
    </row>
    <row r="19">
      <c r="A19" s="2" t="inlineStr">
        <is>
          <t xml:space="preserve">   下回るため、2025年11月の改定前の旧掲載です。求人票の更新が必要と思われます。</t>
        </is>
      </c>
    </row>
    <row r="20">
      <c r="A20" s="2" t="inlineStr">
        <is>
          <t>6. 競合の公開求人には最低賃金割れの旧掲載が21件ありました。うどんウエストは戸畑店1,050円・宗像店1,000円・</t>
        </is>
      </c>
    </row>
    <row r="21">
      <c r="A21" s="2" t="inlineStr">
        <is>
          <t xml:space="preserve">   菊陽光の森店900円といずれも改定前の掲載で、直接競合であるにもかかわらず現行値を確認できていません。</t>
        </is>
      </c>
    </row>
    <row r="22">
      <c r="A22" s="2" t="inlineStr">
        <is>
          <t>7. 同一店舗に複数の異なる金額が見つかった4件（ケンタッキー イオンタウン黒崎店、マクドナルド イオン戸畑SC店、</t>
        </is>
      </c>
    </row>
    <row r="23">
      <c r="A23" s="2" t="inlineStr">
        <is>
          <t xml:space="preserve">   ケンタッキー 鳥栖店、すき家 57号大津店）は、どちらかを自動で選ばず「未確定(情報源の矛盾)」にしています。</t>
        </is>
      </c>
    </row>
    <row r="24">
      <c r="A24" s="2" t="inlineStr">
        <is>
          <t>8. 周辺相場は公開求人の掲載値であり、実際に支払われている時給ではありません。実額を確認するには店舗への直接確認が必要です。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5" customWidth="1" min="3" max="3"/>
    <col width="30" customWidth="1" min="4" max="4"/>
    <col width="30" customWidth="1" min="5" max="5"/>
    <col width="18" customWidth="1" min="6" max="6"/>
    <col width="10" customWidth="1" min="7" max="7"/>
    <col width="50" customWidth="1" min="8" max="8"/>
    <col width="13" customWidth="1" min="9" max="9"/>
    <col width="50" customWidth="1" min="10" max="10"/>
    <col width="10" customWidth="1" min="11" max="11"/>
    <col width="18" customWidth="1" min="12" max="12"/>
    <col width="11" customWidth="1" min="13" max="13"/>
    <col width="24" customWidth="1" min="14" max="14"/>
    <col width="11" customWidth="1" min="15" max="15"/>
    <col width="46" customWidth="1" min="16" max="16"/>
  </cols>
  <sheetData>
    <row r="1">
      <c r="A1" s="6" t="inlineStr">
        <is>
          <t>調査台帳（証拠シート）— L・M・N列は数式です。手入力しないでください</t>
        </is>
      </c>
    </row>
    <row r="2">
      <c r="A2" s="2" t="inlineStr">
        <is>
          <t>収集者が記入してよいのは D〜J の証拠列のみ。判定は証拠から自動算出されます。『店舗一致OK』と人が書けば通る自己採点を排除するための設計です。</t>
        </is>
      </c>
    </row>
    <row r="3">
      <c r="A3" s="2" t="inlineStr">
        <is>
          <t>採用条件：店舗名・所在地・求人ID・時給が同じ求人ブロックから取れていること。近隣求人欄／ブランド共通レンジ／施設一般値／店舗非特定／情報源矛盾 の金額は採用しません。</t>
        </is>
      </c>
    </row>
    <row r="5">
      <c r="A5" s="3" t="inlineStr">
        <is>
          <t>No.</t>
        </is>
      </c>
      <c r="B5" s="3" t="inlineStr">
        <is>
          <t>対象資さん店舗</t>
        </is>
      </c>
      <c r="C5" s="3" t="inlineStr">
        <is>
          <t>区分</t>
        </is>
      </c>
      <c r="D5" s="3" t="inlineStr">
        <is>
          <t>競合店舗名(証拠)</t>
        </is>
      </c>
      <c r="E5" s="3" t="inlineStr">
        <is>
          <t>所在地・施設(証拠)</t>
        </is>
      </c>
      <c r="F5" s="3" t="inlineStr">
        <is>
          <t>求人ID/識別子(証拠)</t>
        </is>
      </c>
      <c r="G5" s="3" t="inlineStr">
        <is>
          <t>基本時給(証拠)</t>
        </is>
      </c>
      <c r="H5" s="3" t="inlineStr">
        <is>
          <t>時給条件(原文)</t>
        </is>
      </c>
      <c r="I5" s="3" t="inlineStr">
        <is>
          <t>取得元区分</t>
        </is>
      </c>
      <c r="J5" s="3" t="inlineStr">
        <is>
          <t>出典URL</t>
        </is>
      </c>
      <c r="K5" s="3" t="inlineStr">
        <is>
          <t>県最低賃金</t>
        </is>
      </c>
      <c r="L5" s="3" t="inlineStr">
        <is>
          <t>【自動】最賃判定</t>
        </is>
      </c>
      <c r="M5" s="3" t="inlineStr">
        <is>
          <t>【自動】証拠4点</t>
        </is>
      </c>
      <c r="N5" s="3" t="inlineStr">
        <is>
          <t>【自動】証明レベル</t>
        </is>
      </c>
      <c r="O5" s="3" t="inlineStr">
        <is>
          <t>確認日</t>
        </is>
      </c>
      <c r="P5" s="3" t="inlineStr">
        <is>
          <t>備考</t>
        </is>
      </c>
    </row>
    <row r="6">
      <c r="A6" s="7" t="n">
        <v>1</v>
      </c>
      <c r="B6" s="7" t="inlineStr">
        <is>
          <t>陣山店</t>
        </is>
      </c>
      <c r="C6" s="7" t="inlineStr">
        <is>
          <t>うどん・そば</t>
        </is>
      </c>
      <c r="D6" s="7" t="inlineStr">
        <is>
          <t>うどんウエスト(八幡西区)</t>
        </is>
      </c>
      <c r="E6" s="7" t="inlineStr"/>
      <c r="F6" s="7" t="inlineStr"/>
      <c r="G6" s="7" t="n">
        <v>1050</v>
      </c>
      <c r="H6" s="7" t="inlineStr">
        <is>
          <t>八幡西区として1,050円～と表示</t>
        </is>
      </c>
      <c r="I6" s="7" t="inlineStr">
        <is>
          <t>店舗非特定</t>
        </is>
      </c>
      <c r="J6" s="7" t="inlineStr">
        <is>
          <t>https://west-saiyou.net/</t>
        </is>
      </c>
      <c r="K6" s="7" t="n">
        <v>1057</v>
      </c>
      <c r="L6" s="7">
        <f>IF(G6="","-",IF(G6&lt;K6,"割れ(旧掲載疑い)","OK"))</f>
        <v/>
      </c>
      <c r="M6" s="7">
        <f>IF(AND(D6&lt;&gt;"",E6&lt;&gt;"",F6&lt;&gt;"",G6&lt;&gt;""),"充足","不足")</f>
        <v/>
      </c>
      <c r="N6" s="7">
        <f>IF(I6="近隣求人欄","未確定(近隣欄からの抽出)",IF(I6="ブランド共通","未確定(店舗非固有)",IF(I6="施設一般","未確定(施設一般値)",IF(I6="店舗非特定","未確定(店舗非特定)",IF(I6="情報源矛盾","未確定(情報源の矛盾)",IF(G6="","取得不能",IF(L6="割れ(旧掲載疑い)","未確定(最低賃金割れ)",IF(M6="不足","未確定(証拠不足)","媒体掲載値"))))))))</f>
        <v/>
      </c>
      <c r="O6" s="7" t="inlineStr">
        <is>
          <t>2026-07-31</t>
        </is>
      </c>
      <c r="P6" s="7" t="inlineStr">
        <is>
          <t>★八幡西区のどの店舗の値か特定できない</t>
        </is>
      </c>
    </row>
    <row r="7">
      <c r="A7" s="7" t="n">
        <v>2</v>
      </c>
      <c r="B7" s="7" t="inlineStr">
        <is>
          <t>陣山店</t>
        </is>
      </c>
      <c r="C7" s="7" t="inlineStr">
        <is>
          <t>うどん・そば</t>
        </is>
      </c>
      <c r="D7" s="7" t="inlineStr">
        <is>
          <t>丸亀製麺 八幡本城店</t>
        </is>
      </c>
      <c r="E7" s="7" t="inlineStr">
        <is>
          <t>北九州市八幡西区本城</t>
        </is>
      </c>
      <c r="F7" s="7" t="inlineStr">
        <is>
          <t>A10701917138</t>
        </is>
      </c>
      <c r="G7" s="7" t="n">
        <v>1000</v>
      </c>
      <c r="H7" s="7" t="inlineStr">
        <is>
          <t>1,000円～／22時以降25%UP</t>
        </is>
      </c>
      <c r="I7" s="7" t="inlineStr">
        <is>
          <t>対象求人本文</t>
        </is>
      </c>
      <c r="J7" s="7" t="inlineStr">
        <is>
          <t>https://toridoll-job.com/toridoll02/A10701917138/MDkyujin_d.htm</t>
        </is>
      </c>
      <c r="K7" s="7" t="n">
        <v>1057</v>
      </c>
      <c r="L7" s="7">
        <f>IF(G7="","-",IF(G7&lt;K7,"割れ(旧掲載疑い)","OK"))</f>
        <v/>
      </c>
      <c r="M7" s="7">
        <f>IF(AND(D7&lt;&gt;"",E7&lt;&gt;"",F7&lt;&gt;"",G7&lt;&gt;""),"充足","不足")</f>
        <v/>
      </c>
      <c r="N7" s="7">
        <f>IF(I7="近隣求人欄","未確定(近隣欄からの抽出)",IF(I7="ブランド共通","未確定(店舗非固有)",IF(I7="施設一般","未確定(施設一般値)",IF(I7="店舗非特定","未確定(店舗非特定)",IF(I7="情報源矛盾","未確定(情報源の矛盾)",IF(G7="","取得不能",IF(L7="割れ(旧掲載疑い)","未確定(最低賃金割れ)",IF(M7="不足","未確定(証拠不足)","媒体掲載値"))))))))</f>
        <v/>
      </c>
      <c r="O7" s="7" t="inlineStr">
        <is>
          <t>2026-07-31</t>
        </is>
      </c>
      <c r="P7" s="7" t="inlineStr">
        <is>
          <t>★福岡県最低賃金1,057円を下回る=旧掲載。八幡西区内の同ブランド店</t>
        </is>
      </c>
    </row>
    <row r="8">
      <c r="A8" s="7" t="n">
        <v>3</v>
      </c>
      <c r="B8" s="7" t="inlineStr">
        <is>
          <t>陣山店</t>
        </is>
      </c>
      <c r="C8" s="7" t="inlineStr">
        <is>
          <t>うどん・そば</t>
        </is>
      </c>
      <c r="D8" s="7" t="inlineStr">
        <is>
          <t>牧のうどん(八幡西区)</t>
        </is>
      </c>
      <c r="E8" s="7" t="inlineStr"/>
      <c r="F8" s="7" t="inlineStr"/>
      <c r="G8" s="7" t="n"/>
      <c r="H8" s="7" t="inlineStr">
        <is>
          <t>求人は福岡市内の店舗のみ(博多バスターミナル1,200円・今宿1,150円・片江1,150円)。北九州市内の店舗を確認できず</t>
        </is>
      </c>
      <c r="I8" s="7" t="inlineStr">
        <is>
          <t>未取得</t>
        </is>
      </c>
      <c r="J8" s="7" t="inlineStr">
        <is>
          <t>https://www.baitoru.com/kw/%E7%89%A7%E3%81%AE%E3%81%86%E3%81%A9%E3%82%93%E3%80%80%E6%AD%A3%E7%A4%BE%E5%93%A1%E3%80%80%E6%B1%82%E4%BA%BA/</t>
        </is>
      </c>
      <c r="K8" s="7" t="n">
        <v>1057</v>
      </c>
      <c r="L8" s="7">
        <f>IF(G8="","-",IF(G8&lt;K8,"割れ(旧掲載疑い)","OK"))</f>
        <v/>
      </c>
      <c r="M8" s="7">
        <f>IF(AND(D8&lt;&gt;"",E8&lt;&gt;"",F8&lt;&gt;"",G8&lt;&gt;""),"充足","不足")</f>
        <v/>
      </c>
      <c r="N8" s="7">
        <f>IF(I8="近隣求人欄","未確定(近隣欄からの抽出)",IF(I8="ブランド共通","未確定(店舗非固有)",IF(I8="施設一般","未確定(施設一般値)",IF(I8="店舗非特定","未確定(店舗非特定)",IF(I8="情報源矛盾","未確定(情報源の矛盾)",IF(G8="","取得不能",IF(L8="割れ(旧掲載疑い)","未確定(最低賃金割れ)",IF(M8="不足","未確定(証拠不足)","媒体掲載値"))))))))</f>
        <v/>
      </c>
      <c r="O8" s="7" t="inlineStr">
        <is>
          <t>2026-07-31</t>
        </is>
      </c>
      <c r="P8" s="7" t="inlineStr">
        <is>
          <t>★福岡市の値は商圏が違うため使用しない</t>
        </is>
      </c>
    </row>
    <row r="9">
      <c r="A9" s="8" t="n">
        <v>4</v>
      </c>
      <c r="B9" s="8" t="inlineStr">
        <is>
          <t>陣山店</t>
        </is>
      </c>
      <c r="C9" s="8" t="inlineStr">
        <is>
          <t>牛丼・定食</t>
        </is>
      </c>
      <c r="D9" s="8" t="inlineStr">
        <is>
          <t>すき家 3号黒崎店</t>
        </is>
      </c>
      <c r="E9" s="8" t="inlineStr">
        <is>
          <t>北九州市八幡西区(黒崎駅近く)</t>
        </is>
      </c>
      <c r="F9" s="8" t="inlineStr">
        <is>
          <t>3号黒崎店</t>
        </is>
      </c>
      <c r="G9" s="8" t="n">
        <v>1080</v>
      </c>
      <c r="H9" s="8" t="inlineStr">
        <is>
          <t>求人表示 1,080～1,350円</t>
        </is>
      </c>
      <c r="I9" s="8" t="inlineStr">
        <is>
          <t>対象求人本文</t>
        </is>
      </c>
      <c r="J9" s="8" t="inlineStr">
        <is>
          <t>https://www.baitoru.com/kyushu/jlist/fukuoka/kitakyusyushi/kitakyushushiyahatanishiku/</t>
        </is>
      </c>
      <c r="K9" s="8" t="n">
        <v>1057</v>
      </c>
      <c r="L9" s="8">
        <f>IF(G9="","-",IF(G9&lt;K9,"割れ(旧掲載疑い)","OK"))</f>
        <v/>
      </c>
      <c r="M9" s="8">
        <f>IF(AND(D9&lt;&gt;"",E9&lt;&gt;"",F9&lt;&gt;"",G9&lt;&gt;""),"充足","不足")</f>
        <v/>
      </c>
      <c r="N9" s="8">
        <f>IF(I9="近隣求人欄","未確定(近隣欄からの抽出)",IF(I9="ブランド共通","未確定(店舗非固有)",IF(I9="施設一般","未確定(施設一般値)",IF(I9="店舗非特定","未確定(店舗非特定)",IF(I9="情報源矛盾","未確定(情報源の矛盾)",IF(G9="","取得不能",IF(L9="割れ(旧掲載疑い)","未確定(最低賃金割れ)",IF(M9="不足","未確定(証拠不足)","媒体掲載値"))))))))</f>
        <v/>
      </c>
      <c r="O9" s="8" t="inlineStr">
        <is>
          <t>2026-07-31</t>
        </is>
      </c>
      <c r="P9" s="8" t="inlineStr"/>
    </row>
    <row r="10">
      <c r="A10" s="8" t="n">
        <v>5</v>
      </c>
      <c r="B10" s="8" t="inlineStr">
        <is>
          <t>陣山店</t>
        </is>
      </c>
      <c r="C10" s="8" t="inlineStr">
        <is>
          <t>牛丼・定食</t>
        </is>
      </c>
      <c r="D10" s="8" t="inlineStr">
        <is>
          <t>吉野家 3号線黒崎西店</t>
        </is>
      </c>
      <c r="E10" s="8" t="inlineStr">
        <is>
          <t>北九州市八幡西区</t>
        </is>
      </c>
      <c r="F10" s="8" t="inlineStr">
        <is>
          <t>ysn_044844</t>
        </is>
      </c>
      <c r="G10" s="8" t="n">
        <v>1060</v>
      </c>
      <c r="H10" s="8" t="inlineStr">
        <is>
          <t>求人表示 1,060～1,325円</t>
        </is>
      </c>
      <c r="I10" s="8" t="inlineStr">
        <is>
          <t>対象求人本文</t>
        </is>
      </c>
      <c r="J10" s="8" t="inlineStr">
        <is>
          <t>https://www.yoshinoya.com/baito/op71872/alist/kyushu_fukuoka_kitakyusyushi_kitakyushushiyahatanishiku/</t>
        </is>
      </c>
      <c r="K10" s="8" t="n">
        <v>1057</v>
      </c>
      <c r="L10" s="8">
        <f>IF(G10="","-",IF(G10&lt;K10,"割れ(旧掲載疑い)","OK"))</f>
        <v/>
      </c>
      <c r="M10" s="8">
        <f>IF(AND(D10&lt;&gt;"",E10&lt;&gt;"",F10&lt;&gt;"",G10&lt;&gt;""),"充足","不足")</f>
        <v/>
      </c>
      <c r="N10" s="8">
        <f>IF(I10="近隣求人欄","未確定(近隣欄からの抽出)",IF(I10="ブランド共通","未確定(店舗非固有)",IF(I10="施設一般","未確定(施設一般値)",IF(I10="店舗非特定","未確定(店舗非特定)",IF(I10="情報源矛盾","未確定(情報源の矛盾)",IF(G10="","取得不能",IF(L10="割れ(旧掲載疑い)","未確定(最低賃金割れ)",IF(M10="不足","未確定(証拠不足)","媒体掲載値"))))))))</f>
        <v/>
      </c>
      <c r="O10" s="8" t="inlineStr">
        <is>
          <t>2026-07-31</t>
        </is>
      </c>
      <c r="P10" s="8" t="inlineStr"/>
    </row>
    <row r="11">
      <c r="A11" s="8" t="n">
        <v>6</v>
      </c>
      <c r="B11" s="8" t="inlineStr">
        <is>
          <t>陣山店</t>
        </is>
      </c>
      <c r="C11" s="8" t="inlineStr">
        <is>
          <t>牛丼・定食</t>
        </is>
      </c>
      <c r="D11" s="8" t="inlineStr">
        <is>
          <t>松屋(黒崎)</t>
        </is>
      </c>
      <c r="E11" s="8" t="inlineStr"/>
      <c r="F11" s="8" t="inlineStr"/>
      <c r="G11" s="8" t="n"/>
      <c r="H11" s="8" t="inlineStr">
        <is>
          <t>店舗別の掲載を取得できず</t>
        </is>
      </c>
      <c r="I11" s="8" t="inlineStr">
        <is>
          <t>未取得</t>
        </is>
      </c>
      <c r="J11" s="8" t="inlineStr">
        <is>
          <t>https://www.matswork.biz/op182246/alist/</t>
        </is>
      </c>
      <c r="K11" s="8" t="n">
        <v>1057</v>
      </c>
      <c r="L11" s="8">
        <f>IF(G11="","-",IF(G11&lt;K11,"割れ(旧掲載疑い)","OK"))</f>
        <v/>
      </c>
      <c r="M11" s="8">
        <f>IF(AND(D11&lt;&gt;"",E11&lt;&gt;"",F11&lt;&gt;"",G11&lt;&gt;""),"充足","不足")</f>
        <v/>
      </c>
      <c r="N11" s="8">
        <f>IF(I11="近隣求人欄","未確定(近隣欄からの抽出)",IF(I11="ブランド共通","未確定(店舗非固有)",IF(I11="施設一般","未確定(施設一般値)",IF(I11="店舗非特定","未確定(店舗非特定)",IF(I11="情報源矛盾","未確定(情報源の矛盾)",IF(G11="","取得不能",IF(L11="割れ(旧掲載疑い)","未確定(最低賃金割れ)",IF(M11="不足","未確定(証拠不足)","媒体掲載値"))))))))</f>
        <v/>
      </c>
      <c r="O11" s="8" t="inlineStr">
        <is>
          <t>2026-07-31</t>
        </is>
      </c>
      <c r="P11" s="8" t="inlineStr"/>
    </row>
    <row r="12">
      <c r="A12" s="8" t="n">
        <v>7</v>
      </c>
      <c r="B12" s="8" t="inlineStr">
        <is>
          <t>陣山店</t>
        </is>
      </c>
      <c r="C12" s="8" t="inlineStr">
        <is>
          <t>ファミレス</t>
        </is>
      </c>
      <c r="D12" s="8" t="inlineStr">
        <is>
          <t>ジョイフル 北九州黒崎店</t>
        </is>
      </c>
      <c r="E12" s="8" t="inlineStr">
        <is>
          <t>北九州市八幡西区</t>
        </is>
      </c>
      <c r="F12" s="8" t="inlineStr">
        <is>
          <t>job155176519</t>
        </is>
      </c>
      <c r="G12" s="8" t="n">
        <v>1107</v>
      </c>
      <c r="H12" s="8" t="inlineStr">
        <is>
          <t>9-15時 1,200円／15-22時 1,107円／22-5時 1,564円／5-9時 1,551円／高校生 1,107円</t>
        </is>
      </c>
      <c r="I12" s="8" t="inlineStr">
        <is>
          <t>対象求人本文</t>
        </is>
      </c>
      <c r="J12" s="8" t="inlineStr">
        <is>
          <t>https://www.baitoru.com/kyushu/jlist/fukuoka/kitakyusyushi/kitakyushushiyahatanishiku/job155176519/</t>
        </is>
      </c>
      <c r="K12" s="8" t="n">
        <v>1057</v>
      </c>
      <c r="L12" s="8">
        <f>IF(G12="","-",IF(G12&lt;K12,"割れ(旧掲載疑い)","OK"))</f>
        <v/>
      </c>
      <c r="M12" s="8">
        <f>IF(AND(D12&lt;&gt;"",E12&lt;&gt;"",F12&lt;&gt;"",G12&lt;&gt;""),"充足","不足")</f>
        <v/>
      </c>
      <c r="N12" s="8">
        <f>IF(I12="近隣求人欄","未確定(近隣欄からの抽出)",IF(I12="ブランド共通","未確定(店舗非固有)",IF(I12="施設一般","未確定(施設一般値)",IF(I12="店舗非特定","未確定(店舗非特定)",IF(I12="情報源矛盾","未確定(情報源の矛盾)",IF(G12="","取得不能",IF(L12="割れ(旧掲載疑い)","未確定(最低賃金割れ)",IF(M12="不足","未確定(証拠不足)","媒体掲載値"))))))))</f>
        <v/>
      </c>
      <c r="O12" s="8" t="inlineStr">
        <is>
          <t>2026-07-31</t>
        </is>
      </c>
      <c r="P12" s="8" t="inlineStr"/>
    </row>
    <row r="13">
      <c r="A13" s="7" t="n">
        <v>8</v>
      </c>
      <c r="B13" s="7" t="inlineStr">
        <is>
          <t>陣山店</t>
        </is>
      </c>
      <c r="C13" s="7" t="inlineStr">
        <is>
          <t>ファミレス</t>
        </is>
      </c>
      <c r="D13" s="7" t="inlineStr">
        <is>
          <t>ガスト イオンタウン黒崎店</t>
        </is>
      </c>
      <c r="E13" s="7" t="inlineStr">
        <is>
          <t>北九州市八幡西区西曲里町3-3</t>
        </is>
      </c>
      <c r="F13" s="7" t="inlineStr"/>
      <c r="G13" s="7" t="n">
        <v>1240</v>
      </c>
      <c r="H13" s="7" t="inlineStr">
        <is>
          <t>福岡県内共通レンジ 1,240～1,428円(深夜割増込み)のみ取得</t>
        </is>
      </c>
      <c r="I13" s="7" t="inlineStr">
        <is>
          <t>ブランド共通</t>
        </is>
      </c>
      <c r="J13" s="7" t="inlineStr">
        <is>
          <t>https://arbaito.skylark.co.jp/csaiyo/f1dr/pc_job/list/GT/kyuo/fukuoka/all</t>
        </is>
      </c>
      <c r="K13" s="7" t="n">
        <v>1057</v>
      </c>
      <c r="L13" s="7">
        <f>IF(G13="","-",IF(G13&lt;K13,"割れ(旧掲載疑い)","OK"))</f>
        <v/>
      </c>
      <c r="M13" s="7">
        <f>IF(AND(D13&lt;&gt;"",E13&lt;&gt;"",F13&lt;&gt;"",G13&lt;&gt;""),"充足","不足")</f>
        <v/>
      </c>
      <c r="N13" s="7">
        <f>IF(I13="近隣求人欄","未確定(近隣欄からの抽出)",IF(I13="ブランド共通","未確定(店舗非固有)",IF(I13="施設一般","未確定(施設一般値)",IF(I13="店舗非特定","未確定(店舗非特定)",IF(I13="情報源矛盾","未確定(情報源の矛盾)",IF(G13="","取得不能",IF(L13="割れ(旧掲載疑い)","未確定(最低賃金割れ)",IF(M13="不足","未確定(証拠不足)","媒体掲載値"))))))))</f>
        <v/>
      </c>
      <c r="O13" s="7" t="inlineStr">
        <is>
          <t>2026-07-31</t>
        </is>
      </c>
      <c r="P13" s="7" t="inlineStr">
        <is>
          <t>★県内共通かつ深夜込み。南柏店サイゼリヤと同型の事故になる</t>
        </is>
      </c>
    </row>
    <row r="14">
      <c r="A14" s="8" t="n">
        <v>9</v>
      </c>
      <c r="B14" s="8" t="inlineStr">
        <is>
          <t>陣山店</t>
        </is>
      </c>
      <c r="C14" s="8" t="inlineStr">
        <is>
          <t>ファストフード</t>
        </is>
      </c>
      <c r="D14" s="8" t="inlineStr">
        <is>
          <t>マクドナルド フレスポ黒崎店</t>
        </is>
      </c>
      <c r="E14" s="8" t="inlineStr">
        <is>
          <t>北九州市八幡西区</t>
        </is>
      </c>
      <c r="F14" s="8" t="inlineStr">
        <is>
          <t>job147130904</t>
        </is>
      </c>
      <c r="G14" s="8" t="n">
        <v>1060</v>
      </c>
      <c r="H14" s="8" t="inlineStr">
        <is>
          <t>22-5時 25%UP</t>
        </is>
      </c>
      <c r="I14" s="8" t="inlineStr">
        <is>
          <t>対象求人本文</t>
        </is>
      </c>
      <c r="J14" s="8" t="inlineStr">
        <is>
          <t>https://www.baitoru.com/kyushu/jlist/fukuoka/kitakyusyushi/kitakyushushiyahatanishiku/job147130904/</t>
        </is>
      </c>
      <c r="K14" s="8" t="n">
        <v>1057</v>
      </c>
      <c r="L14" s="8">
        <f>IF(G14="","-",IF(G14&lt;K14,"割れ(旧掲載疑い)","OK"))</f>
        <v/>
      </c>
      <c r="M14" s="8">
        <f>IF(AND(D14&lt;&gt;"",E14&lt;&gt;"",F14&lt;&gt;"",G14&lt;&gt;""),"充足","不足")</f>
        <v/>
      </c>
      <c r="N14" s="8">
        <f>IF(I14="近隣求人欄","未確定(近隣欄からの抽出)",IF(I14="ブランド共通","未確定(店舗非固有)",IF(I14="施設一般","未確定(施設一般値)",IF(I14="店舗非特定","未確定(店舗非特定)",IF(I14="情報源矛盾","未確定(情報源の矛盾)",IF(G14="","取得不能",IF(L14="割れ(旧掲載疑い)","未確定(最低賃金割れ)",IF(M14="不足","未確定(証拠不足)","媒体掲載値"))))))))</f>
        <v/>
      </c>
      <c r="O14" s="8" t="inlineStr">
        <is>
          <t>2026-07-31</t>
        </is>
      </c>
      <c r="P14" s="8" t="inlineStr"/>
    </row>
    <row r="15">
      <c r="A15" s="7" t="n">
        <v>10</v>
      </c>
      <c r="B15" s="7" t="inlineStr">
        <is>
          <t>陣山店</t>
        </is>
      </c>
      <c r="C15" s="7" t="inlineStr">
        <is>
          <t>ファストフード</t>
        </is>
      </c>
      <c r="D15" s="7" t="inlineStr">
        <is>
          <t>ケンタッキー イオンタウン黒崎店</t>
        </is>
      </c>
      <c r="E15" s="7" t="inlineStr">
        <is>
          <t>北九州市八幡西区西曲里町3-1</t>
        </is>
      </c>
      <c r="F15" s="7" t="inlineStr">
        <is>
          <t>AD0820643116</t>
        </is>
      </c>
      <c r="G15" s="7" t="n">
        <v>1200</v>
      </c>
      <c r="H15" s="7" t="inlineStr">
        <is>
          <t>媒体A: 1,200円～(研修100h 1,100円)／高校生1,100円　媒体B: 1,100円(研修1,000円)／高校生1,000円</t>
        </is>
      </c>
      <c r="I15" s="7" t="inlineStr">
        <is>
          <t>情報源矛盾</t>
        </is>
      </c>
      <c r="J15" s="7" t="inlineStr">
        <is>
          <t>https://www.e-aidem.com/aps/07_AD0820643116_detail.htm</t>
        </is>
      </c>
      <c r="K15" s="7" t="n">
        <v>1057</v>
      </c>
      <c r="L15" s="7">
        <f>IF(G15="","-",IF(G15&lt;K15,"割れ(旧掲載疑い)","OK"))</f>
        <v/>
      </c>
      <c r="M15" s="7">
        <f>IF(AND(D15&lt;&gt;"",E15&lt;&gt;"",F15&lt;&gt;"",G15&lt;&gt;""),"充足","不足")</f>
        <v/>
      </c>
      <c r="N15" s="7">
        <f>IF(I15="近隣求人欄","未確定(近隣欄からの抽出)",IF(I15="ブランド共通","未確定(店舗非固有)",IF(I15="施設一般","未確定(施設一般値)",IF(I15="店舗非特定","未確定(店舗非特定)",IF(I15="情報源矛盾","未確定(情報源の矛盾)",IF(G15="","取得不能",IF(L15="割れ(旧掲載疑い)","未確定(最低賃金割れ)",IF(M15="不足","未確定(証拠不足)","媒体掲載値"))))))))</f>
        <v/>
      </c>
      <c r="O15" s="7" t="inlineStr">
        <is>
          <t>2026-07-31</t>
        </is>
      </c>
      <c r="P15" s="7" t="inlineStr">
        <is>
          <t>★同一店舗に1,200円系と1,100円系の2系統。どちらかを自動で選ばない</t>
        </is>
      </c>
    </row>
    <row r="16">
      <c r="A16" s="7" t="n">
        <v>11</v>
      </c>
      <c r="B16" s="7" t="inlineStr">
        <is>
          <t>陣山店</t>
        </is>
      </c>
      <c r="C16" s="7" t="inlineStr">
        <is>
          <t>ファストフード</t>
        </is>
      </c>
      <c r="D16" s="7" t="inlineStr">
        <is>
          <t>モスバーガー(八幡西区3店)</t>
        </is>
      </c>
      <c r="E16" s="7" t="inlineStr"/>
      <c r="F16" s="7" t="inlineStr"/>
      <c r="G16" s="7" t="n">
        <v>1057</v>
      </c>
      <c r="H16" s="7" t="inlineStr">
        <is>
          <t>八幡西区として1,057円以上、18歳以上1,240円～</t>
        </is>
      </c>
      <c r="I16" s="7" t="inlineStr">
        <is>
          <t>店舗非特定</t>
        </is>
      </c>
      <c r="J16" s="7" t="inlineStr">
        <is>
          <t>https://mos-recruit.net/jobfind-pc/area/KyushuOkinawa/Fukuoka/40109</t>
        </is>
      </c>
      <c r="K16" s="7" t="n">
        <v>1057</v>
      </c>
      <c r="L16" s="7">
        <f>IF(G16="","-",IF(G16&lt;K16,"割れ(旧掲載疑い)","OK"))</f>
        <v/>
      </c>
      <c r="M16" s="7">
        <f>IF(AND(D16&lt;&gt;"",E16&lt;&gt;"",F16&lt;&gt;"",G16&lt;&gt;""),"充足","不足")</f>
        <v/>
      </c>
      <c r="N16" s="7">
        <f>IF(I16="近隣求人欄","未確定(近隣欄からの抽出)",IF(I16="ブランド共通","未確定(店舗非固有)",IF(I16="施設一般","未確定(施設一般値)",IF(I16="店舗非特定","未確定(店舗非特定)",IF(I16="情報源矛盾","未確定(情報源の矛盾)",IF(G16="","取得不能",IF(L16="割れ(旧掲載疑い)","未確定(最低賃金割れ)",IF(M16="不足","未確定(証拠不足)","媒体掲載値"))))))))</f>
        <v/>
      </c>
      <c r="O16" s="7" t="inlineStr">
        <is>
          <t>2026-07-31</t>
        </is>
      </c>
      <c r="P16" s="7" t="inlineStr">
        <is>
          <t>★小嶺店・折尾産医大前店・本城の3店が混在</t>
        </is>
      </c>
    </row>
    <row r="17">
      <c r="A17" s="7" t="n">
        <v>12</v>
      </c>
      <c r="B17" s="7" t="inlineStr">
        <is>
          <t>陣山店</t>
        </is>
      </c>
      <c r="C17" s="7" t="inlineStr">
        <is>
          <t>ちゃんぽん・麺</t>
        </is>
      </c>
      <c r="D17" s="7" t="inlineStr">
        <is>
          <t>リンガーハット コムシティ黒崎店</t>
        </is>
      </c>
      <c r="E17" s="7" t="inlineStr">
        <is>
          <t>北九州市八幡西区(JR黒崎駅前コムシティ3F)</t>
        </is>
      </c>
      <c r="F17" s="7" t="inlineStr">
        <is>
          <t>job15735</t>
        </is>
      </c>
      <c r="G17" s="7" t="n">
        <v>1050</v>
      </c>
      <c r="H17" s="7" t="inlineStr">
        <is>
          <t>八幡西区のリンガーハットとして1,050円～と表示</t>
        </is>
      </c>
      <c r="I17" s="7" t="inlineStr">
        <is>
          <t>店舗非特定</t>
        </is>
      </c>
      <c r="J17" s="7" t="inlineStr">
        <is>
          <t>https://nishitetsu-store-job.net/jobfind-pc/job/All/15735</t>
        </is>
      </c>
      <c r="K17" s="7" t="n">
        <v>1057</v>
      </c>
      <c r="L17" s="7">
        <f>IF(G17="","-",IF(G17&lt;K17,"割れ(旧掲載疑い)","OK"))</f>
        <v/>
      </c>
      <c r="M17" s="7">
        <f>IF(AND(D17&lt;&gt;"",E17&lt;&gt;"",F17&lt;&gt;"",G17&lt;&gt;""),"充足","不足")</f>
        <v/>
      </c>
      <c r="N17" s="7">
        <f>IF(I17="近隣求人欄","未確定(近隣欄からの抽出)",IF(I17="ブランド共通","未確定(店舗非固有)",IF(I17="施設一般","未確定(施設一般値)",IF(I17="店舗非特定","未確定(店舗非特定)",IF(I17="情報源矛盾","未確定(情報源の矛盾)",IF(G17="","取得不能",IF(L17="割れ(旧掲載疑い)","未確定(最低賃金割れ)",IF(M17="不足","未確定(証拠不足)","媒体掲載値"))))))))</f>
        <v/>
      </c>
      <c r="O17" s="7" t="inlineStr">
        <is>
          <t>2026-07-31</t>
        </is>
      </c>
      <c r="P17" s="7" t="inlineStr">
        <is>
          <t>★運営は西鉄ストア。金額の帰属先が不明</t>
        </is>
      </c>
    </row>
    <row r="18">
      <c r="A18" s="7" t="n">
        <v>13</v>
      </c>
      <c r="B18" s="7" t="inlineStr">
        <is>
          <t>陣山店</t>
        </is>
      </c>
      <c r="C18" s="7" t="inlineStr">
        <is>
          <t>回転寿司</t>
        </is>
      </c>
      <c r="D18" s="7" t="inlineStr">
        <is>
          <t>スシロー 八幡黒崎店</t>
        </is>
      </c>
      <c r="E18" s="7" t="inlineStr">
        <is>
          <t>北九州市八幡西区</t>
        </is>
      </c>
      <c r="F18" s="7" t="inlineStr">
        <is>
          <t>job/All/14325</t>
        </is>
      </c>
      <c r="G18" s="7" t="n">
        <v>1030</v>
      </c>
      <c r="H18" s="7" t="inlineStr">
        <is>
          <t>一般1,030円／22時以降1,288円／高校生1,000円／土日祝+50円／研修60h 992円</t>
        </is>
      </c>
      <c r="I18" s="7" t="inlineStr">
        <is>
          <t>対象求人本文</t>
        </is>
      </c>
      <c r="J18" s="7" t="inlineStr">
        <is>
          <t>https://akindo-sushiro-job.net/jobfind-pc/job/All/14325</t>
        </is>
      </c>
      <c r="K18" s="7" t="n">
        <v>1057</v>
      </c>
      <c r="L18" s="7">
        <f>IF(G18="","-",IF(G18&lt;K18,"割れ(旧掲載疑い)","OK"))</f>
        <v/>
      </c>
      <c r="M18" s="7">
        <f>IF(AND(D18&lt;&gt;"",E18&lt;&gt;"",F18&lt;&gt;"",G18&lt;&gt;""),"充足","不足")</f>
        <v/>
      </c>
      <c r="N18" s="7">
        <f>IF(I18="近隣求人欄","未確定(近隣欄からの抽出)",IF(I18="ブランド共通","未確定(店舗非固有)",IF(I18="施設一般","未確定(施設一般値)",IF(I18="店舗非特定","未確定(店舗非特定)",IF(I18="情報源矛盾","未確定(情報源の矛盾)",IF(G18="","取得不能",IF(L18="割れ(旧掲載疑い)","未確定(最低賃金割れ)",IF(M18="不足","未確定(証拠不足)","媒体掲載値"))))))))</f>
        <v/>
      </c>
      <c r="O18" s="7" t="inlineStr">
        <is>
          <t>2026-07-31</t>
        </is>
      </c>
      <c r="P18" s="7" t="inlineStr">
        <is>
          <t>★福岡県最低賃金1,057円を下回る=2025-11-16改定前の旧掲載</t>
        </is>
      </c>
    </row>
    <row r="19">
      <c r="A19" s="8" t="n">
        <v>14</v>
      </c>
      <c r="B19" s="8" t="inlineStr">
        <is>
          <t>陣山店</t>
        </is>
      </c>
      <c r="C19" s="8" t="inlineStr">
        <is>
          <t>回転寿司</t>
        </is>
      </c>
      <c r="D19" s="8" t="inlineStr">
        <is>
          <t>はま寿司 イオンタウン黒崎店</t>
        </is>
      </c>
      <c r="E19" s="8" t="inlineStr">
        <is>
          <t>北九州市八幡西区(イオンタウン黒崎)</t>
        </is>
      </c>
      <c r="F19" s="8" t="inlineStr">
        <is>
          <t>はま寿司イオンタウン黒崎店</t>
        </is>
      </c>
      <c r="G19" s="8" t="n">
        <v>1100</v>
      </c>
      <c r="H19" s="8" t="inlineStr">
        <is>
          <t>22時以降1,375円／土+70円・日祝+100円／高校生1,070円</t>
        </is>
      </c>
      <c r="I19" s="8" t="inlineStr">
        <is>
          <t>対象求人本文</t>
        </is>
      </c>
      <c r="J19" s="8" t="inlineStr">
        <is>
          <t>https://jp.indeed.com/q-%E3%81%AF%E3%81%BE%E5%AF%BF%E5%8F%B8-%E3%82%A4%E3%82%AA%E3%83%B3%E3%82%BF%E3%82%A6%E3%83%B3%E9%BB%92%E5%B4%8E%E5%BA%97-l-%E7%A6%8F%E5%B2%A1%E7%9C%8C-%E6%B1%82%E4%BA%BA.html</t>
        </is>
      </c>
      <c r="K19" s="8" t="n">
        <v>1057</v>
      </c>
      <c r="L19" s="8">
        <f>IF(G19="","-",IF(G19&lt;K19,"割れ(旧掲載疑い)","OK"))</f>
        <v/>
      </c>
      <c r="M19" s="8">
        <f>IF(AND(D19&lt;&gt;"",E19&lt;&gt;"",F19&lt;&gt;"",G19&lt;&gt;""),"充足","不足")</f>
        <v/>
      </c>
      <c r="N19" s="8">
        <f>IF(I19="近隣求人欄","未確定(近隣欄からの抽出)",IF(I19="ブランド共通","未確定(店舗非固有)",IF(I19="施設一般","未確定(施設一般値)",IF(I19="店舗非特定","未確定(店舗非特定)",IF(I19="情報源矛盾","未確定(情報源の矛盾)",IF(G19="","取得不能",IF(L19="割れ(旧掲載疑い)","未確定(最低賃金割れ)",IF(M19="不足","未確定(証拠不足)","媒体掲載値"))))))))</f>
        <v/>
      </c>
      <c r="O19" s="8" t="inlineStr">
        <is>
          <t>2026-07-31</t>
        </is>
      </c>
      <c r="P19" s="8" t="inlineStr"/>
    </row>
    <row r="20">
      <c r="A20" s="7" t="n">
        <v>15</v>
      </c>
      <c r="B20" s="7" t="inlineStr">
        <is>
          <t>陣山店</t>
        </is>
      </c>
      <c r="C20" s="7" t="inlineStr">
        <is>
          <t>回転寿司</t>
        </is>
      </c>
      <c r="D20" s="7" t="inlineStr">
        <is>
          <t>くら寿司(八幡西区)</t>
        </is>
      </c>
      <c r="E20" s="7" t="inlineStr"/>
      <c r="F20" s="7" t="inlineStr"/>
      <c r="G20" s="7" t="n">
        <v>1000</v>
      </c>
      <c r="H20" s="7" t="inlineStr">
        <is>
          <t>1,000～1,313円または1,100円～。折尾駅徒歩12分と記載</t>
        </is>
      </c>
      <c r="I20" s="7" t="inlineStr">
        <is>
          <t>店舗非特定</t>
        </is>
      </c>
      <c r="J20" s="7" t="inlineStr">
        <is>
          <t>https://baito.mynavi.jp/brand/brand-492/area_40-365-191/</t>
        </is>
      </c>
      <c r="K20" s="7" t="n">
        <v>1057</v>
      </c>
      <c r="L20" s="7">
        <f>IF(G20="","-",IF(G20&lt;K20,"割れ(旧掲載疑い)","OK"))</f>
        <v/>
      </c>
      <c r="M20" s="7">
        <f>IF(AND(D20&lt;&gt;"",E20&lt;&gt;"",F20&lt;&gt;"",G20&lt;&gt;""),"充足","不足")</f>
        <v/>
      </c>
      <c r="N20" s="7">
        <f>IF(I20="近隣求人欄","未確定(近隣欄からの抽出)",IF(I20="ブランド共通","未確定(店舗非固有)",IF(I20="施設一般","未確定(施設一般値)",IF(I20="店舗非特定","未確定(店舗非特定)",IF(I20="情報源矛盾","未確定(情報源の矛盾)",IF(G20="","取得不能",IF(L20="割れ(旧掲載疑い)","未確定(最低賃金割れ)",IF(M20="不足","未確定(証拠不足)","媒体掲載値"))))))))</f>
        <v/>
      </c>
      <c r="O20" s="7" t="inlineStr">
        <is>
          <t>2026-07-31</t>
        </is>
      </c>
      <c r="P20" s="7" t="inlineStr">
        <is>
          <t>★折尾店と思われるが確定できず。かつ最賃割れ</t>
        </is>
      </c>
    </row>
    <row r="21">
      <c r="A21" s="7" t="n">
        <v>16</v>
      </c>
      <c r="B21" s="7" t="inlineStr">
        <is>
          <t>新池店</t>
        </is>
      </c>
      <c r="C21" s="7" t="inlineStr">
        <is>
          <t>うどん・そば</t>
        </is>
      </c>
      <c r="D21" s="7" t="inlineStr">
        <is>
          <t>うどんウエスト 戸畑店</t>
        </is>
      </c>
      <c r="E21" s="7" t="inlineStr">
        <is>
          <t>北九州市戸畑区初音町9-25</t>
        </is>
      </c>
      <c r="F21" s="7" t="inlineStr">
        <is>
          <t>job/All/993</t>
        </is>
      </c>
      <c r="G21" s="7" t="n">
        <v>1050</v>
      </c>
      <c r="H21" s="7" t="inlineStr">
        <is>
          <t>1,050～1,313円／22時以降1,313円以上</t>
        </is>
      </c>
      <c r="I21" s="7" t="inlineStr">
        <is>
          <t>対象求人本文</t>
        </is>
      </c>
      <c r="J21" s="7" t="inlineStr">
        <is>
          <t>https://west-saiyou.net/jobfind-pc/job/All/993</t>
        </is>
      </c>
      <c r="K21" s="7" t="n">
        <v>1057</v>
      </c>
      <c r="L21" s="7">
        <f>IF(G21="","-",IF(G21&lt;K21,"割れ(旧掲載疑い)","OK"))</f>
        <v/>
      </c>
      <c r="M21" s="7">
        <f>IF(AND(D21&lt;&gt;"",E21&lt;&gt;"",F21&lt;&gt;"",G21&lt;&gt;""),"充足","不足")</f>
        <v/>
      </c>
      <c r="N21" s="7">
        <f>IF(I21="近隣求人欄","未確定(近隣欄からの抽出)",IF(I21="ブランド共通","未確定(店舗非固有)",IF(I21="施設一般","未確定(施設一般値)",IF(I21="店舗非特定","未確定(店舗非特定)",IF(I21="情報源矛盾","未確定(情報源の矛盾)",IF(G21="","取得不能",IF(L21="割れ(旧掲載疑い)","未確定(最低賃金割れ)",IF(M21="不足","未確定(証拠不足)","媒体掲載値"))))))))</f>
        <v/>
      </c>
      <c r="O21" s="7" t="inlineStr">
        <is>
          <t>2026-07-31</t>
        </is>
      </c>
      <c r="P21" s="7" t="inlineStr">
        <is>
          <t>★福岡県最低賃金1,057円を下回る=旧掲載。直接競合のうどん業態</t>
        </is>
      </c>
    </row>
    <row r="22">
      <c r="A22" s="8" t="n">
        <v>17</v>
      </c>
      <c r="B22" s="8" t="inlineStr">
        <is>
          <t>新池店</t>
        </is>
      </c>
      <c r="C22" s="8" t="inlineStr">
        <is>
          <t>うどん・そば</t>
        </is>
      </c>
      <c r="D22" s="8" t="inlineStr">
        <is>
          <t>丸亀製麺(戸畑周辺)</t>
        </is>
      </c>
      <c r="E22" s="8" t="inlineStr"/>
      <c r="F22" s="8" t="inlineStr"/>
      <c r="G22" s="8" t="n"/>
      <c r="H22" s="8" t="inlineStr">
        <is>
          <t>店舗別の掲載を取得できず</t>
        </is>
      </c>
      <c r="I22" s="8" t="inlineStr">
        <is>
          <t>未取得</t>
        </is>
      </c>
      <c r="J22" s="8" t="inlineStr">
        <is>
          <t>https://jobs.toridoll.com/marugame</t>
        </is>
      </c>
      <c r="K22" s="8" t="n">
        <v>1057</v>
      </c>
      <c r="L22" s="8">
        <f>IF(G22="","-",IF(G22&lt;K22,"割れ(旧掲載疑い)","OK"))</f>
        <v/>
      </c>
      <c r="M22" s="8">
        <f>IF(AND(D22&lt;&gt;"",E22&lt;&gt;"",F22&lt;&gt;"",G22&lt;&gt;""),"充足","不足")</f>
        <v/>
      </c>
      <c r="N22" s="8">
        <f>IF(I22="近隣求人欄","未確定(近隣欄からの抽出)",IF(I22="ブランド共通","未確定(店舗非固有)",IF(I22="施設一般","未確定(施設一般値)",IF(I22="店舗非特定","未確定(店舗非特定)",IF(I22="情報源矛盾","未確定(情報源の矛盾)",IF(G22="","取得不能",IF(L22="割れ(旧掲載疑い)","未確定(最低賃金割れ)",IF(M22="不足","未確定(証拠不足)","媒体掲載値"))))))))</f>
        <v/>
      </c>
      <c r="O22" s="8" t="inlineStr">
        <is>
          <t>2026-07-31</t>
        </is>
      </c>
      <c r="P22" s="8" t="inlineStr"/>
    </row>
    <row r="23">
      <c r="A23" s="8" t="n">
        <v>18</v>
      </c>
      <c r="B23" s="8" t="inlineStr">
        <is>
          <t>新池店</t>
        </is>
      </c>
      <c r="C23" s="8" t="inlineStr">
        <is>
          <t>牛丼・定食</t>
        </is>
      </c>
      <c r="D23" s="8" t="inlineStr">
        <is>
          <t>すき家(戸畑区)</t>
        </is>
      </c>
      <c r="E23" s="8" t="inlineStr"/>
      <c r="F23" s="8" t="inlineStr"/>
      <c r="G23" s="8" t="n"/>
      <c r="H23" s="8" t="inlineStr">
        <is>
          <t>戸畑区の店舗別掲載を取得できず</t>
        </is>
      </c>
      <c r="I23" s="8" t="inlineStr">
        <is>
          <t>未取得</t>
        </is>
      </c>
      <c r="J23" s="8" t="inlineStr">
        <is>
          <t>https://work.sukiya.jp/brand-jobfind/area/All</t>
        </is>
      </c>
      <c r="K23" s="8" t="n">
        <v>1057</v>
      </c>
      <c r="L23" s="8">
        <f>IF(G23="","-",IF(G23&lt;K23,"割れ(旧掲載疑い)","OK"))</f>
        <v/>
      </c>
      <c r="M23" s="8">
        <f>IF(AND(D23&lt;&gt;"",E23&lt;&gt;"",F23&lt;&gt;"",G23&lt;&gt;""),"充足","不足")</f>
        <v/>
      </c>
      <c r="N23" s="8">
        <f>IF(I23="近隣求人欄","未確定(近隣欄からの抽出)",IF(I23="ブランド共通","未確定(店舗非固有)",IF(I23="施設一般","未確定(施設一般値)",IF(I23="店舗非特定","未確定(店舗非特定)",IF(I23="情報源矛盾","未確定(情報源の矛盾)",IF(G23="","取得不能",IF(L23="割れ(旧掲載疑い)","未確定(最低賃金割れ)",IF(M23="不足","未確定(証拠不足)","媒体掲載値"))))))))</f>
        <v/>
      </c>
      <c r="O23" s="8" t="inlineStr">
        <is>
          <t>2026-07-31</t>
        </is>
      </c>
      <c r="P23" s="8" t="inlineStr"/>
    </row>
    <row r="24">
      <c r="A24" s="7" t="n">
        <v>19</v>
      </c>
      <c r="B24" s="7" t="inlineStr">
        <is>
          <t>新池店</t>
        </is>
      </c>
      <c r="C24" s="7" t="inlineStr">
        <is>
          <t>牛丼・定食</t>
        </is>
      </c>
      <c r="D24" s="7" t="inlineStr">
        <is>
          <t>吉野家(北九州市)</t>
        </is>
      </c>
      <c r="E24" s="7" t="inlineStr"/>
      <c r="F24" s="7" t="inlineStr"/>
      <c r="G24" s="7" t="n">
        <v>1050</v>
      </c>
      <c r="H24" s="7" t="inlineStr">
        <is>
          <t>北九州市として1,057円以上／別掲載で一般・高校生1,050円、22時以降25%UP</t>
        </is>
      </c>
      <c r="I24" s="7" t="inlineStr">
        <is>
          <t>店舗非特定</t>
        </is>
      </c>
      <c r="J24" s="7" t="inlineStr">
        <is>
          <t>https://www.yoshinoya.com/baito/op71872/</t>
        </is>
      </c>
      <c r="K24" s="7" t="n">
        <v>1057</v>
      </c>
      <c r="L24" s="7">
        <f>IF(G24="","-",IF(G24&lt;K24,"割れ(旧掲載疑い)","OK"))</f>
        <v/>
      </c>
      <c r="M24" s="7">
        <f>IF(AND(D24&lt;&gt;"",E24&lt;&gt;"",F24&lt;&gt;"",G24&lt;&gt;""),"充足","不足")</f>
        <v/>
      </c>
      <c r="N24" s="7">
        <f>IF(I24="近隣求人欄","未確定(近隣欄からの抽出)",IF(I24="ブランド共通","未確定(店舗非固有)",IF(I24="施設一般","未確定(施設一般値)",IF(I24="店舗非特定","未確定(店舗非特定)",IF(I24="情報源矛盾","未確定(情報源の矛盾)",IF(G24="","取得不能",IF(L24="割れ(旧掲載疑い)","未確定(最低賃金割れ)",IF(M24="不足","未確定(証拠不足)","媒体掲載値"))))))))</f>
        <v/>
      </c>
      <c r="O24" s="7" t="inlineStr">
        <is>
          <t>2026-07-31</t>
        </is>
      </c>
      <c r="P24" s="7" t="inlineStr">
        <is>
          <t>★店舗を特定できない。かつ1,050円は最賃割れ</t>
        </is>
      </c>
    </row>
    <row r="25">
      <c r="A25" s="7" t="n">
        <v>20</v>
      </c>
      <c r="B25" s="7" t="inlineStr">
        <is>
          <t>新池店</t>
        </is>
      </c>
      <c r="C25" s="7" t="inlineStr">
        <is>
          <t>ファミレス</t>
        </is>
      </c>
      <c r="D25" s="7" t="inlineStr">
        <is>
          <t>ジョイフル(戸畑区)</t>
        </is>
      </c>
      <c r="E25" s="7" t="inlineStr"/>
      <c r="F25" s="7" t="inlineStr"/>
      <c r="G25" s="7" t="n">
        <v>1042</v>
      </c>
      <c r="H25" s="7" t="inlineStr">
        <is>
          <t>検索で並んだのは本城店・小倉熊本店。いずれも戸畑区外</t>
        </is>
      </c>
      <c r="I25" s="7" t="inlineStr">
        <is>
          <t>店舗非特定</t>
        </is>
      </c>
      <c r="J25" s="7" t="inlineStr">
        <is>
          <t>https://joyful.saiyo-job.jp/dsaiyo/cct7/pc_job/list/all/kyuo/fukuoka/all</t>
        </is>
      </c>
      <c r="K25" s="7" t="n">
        <v>1057</v>
      </c>
      <c r="L25" s="7">
        <f>IF(G25="","-",IF(G25&lt;K25,"割れ(旧掲載疑い)","OK"))</f>
        <v/>
      </c>
      <c r="M25" s="7">
        <f>IF(AND(D25&lt;&gt;"",E25&lt;&gt;"",F25&lt;&gt;"",G25&lt;&gt;""),"充足","不足")</f>
        <v/>
      </c>
      <c r="N25" s="7">
        <f>IF(I25="近隣求人欄","未確定(近隣欄からの抽出)",IF(I25="ブランド共通","未確定(店舗非固有)",IF(I25="施設一般","未確定(施設一般値)",IF(I25="店舗非特定","未確定(店舗非特定)",IF(I25="情報源矛盾","未確定(情報源の矛盾)",IF(G25="","取得不能",IF(L25="割れ(旧掲載疑い)","未確定(最低賃金割れ)",IF(M25="不足","未確定(証拠不足)","媒体掲載値"))))))))</f>
        <v/>
      </c>
      <c r="O25" s="7" t="inlineStr">
        <is>
          <t>2026-07-31</t>
        </is>
      </c>
      <c r="P25" s="7" t="inlineStr">
        <is>
          <t>★南柏店の事故と同型。別店舗の値なので使用しない</t>
        </is>
      </c>
    </row>
    <row r="26">
      <c r="A26" s="8" t="n">
        <v>21</v>
      </c>
      <c r="B26" s="8" t="inlineStr">
        <is>
          <t>新池店</t>
        </is>
      </c>
      <c r="C26" s="8" t="inlineStr">
        <is>
          <t>ファミレス(市内参考)</t>
        </is>
      </c>
      <c r="D26" s="8" t="inlineStr">
        <is>
          <t>ジョイフル 本城店(八幡西区)</t>
        </is>
      </c>
      <c r="E26" s="8" t="inlineStr">
        <is>
          <t>北九州市八幡西区</t>
        </is>
      </c>
      <c r="F26" s="8" t="inlineStr">
        <is>
          <t>job155176351</t>
        </is>
      </c>
      <c r="G26" s="8" t="n">
        <v>1107</v>
      </c>
      <c r="H26" s="8" t="inlineStr">
        <is>
          <t>9-15時 1,151円／15-22時 1,107円／22-5時 1,564円／5-9時 1,551円／高校生 1,107円</t>
        </is>
      </c>
      <c r="I26" s="8" t="inlineStr">
        <is>
          <t>対象求人本文</t>
        </is>
      </c>
      <c r="J26" s="8" t="inlineStr">
        <is>
          <t>https://www.baitoru.com/kyushu/jlist/fukuoka/kitakyusyushi/kitakyushushiyahatanishiku/job155176351/</t>
        </is>
      </c>
      <c r="K26" s="8" t="n">
        <v>1057</v>
      </c>
      <c r="L26" s="8">
        <f>IF(G26="","-",IF(G26&lt;K26,"割れ(旧掲載疑い)","OK"))</f>
        <v/>
      </c>
      <c r="M26" s="8">
        <f>IF(AND(D26&lt;&gt;"",E26&lt;&gt;"",F26&lt;&gt;"",G26&lt;&gt;""),"充足","不足")</f>
        <v/>
      </c>
      <c r="N26" s="8">
        <f>IF(I26="近隣求人欄","未確定(近隣欄からの抽出)",IF(I26="ブランド共通","未確定(店舗非固有)",IF(I26="施設一般","未確定(施設一般値)",IF(I26="店舗非特定","未確定(店舗非特定)",IF(I26="情報源矛盾","未確定(情報源の矛盾)",IF(G26="","取得不能",IF(L26="割れ(旧掲載疑い)","未確定(最低賃金割れ)",IF(M26="不足","未確定(証拠不足)","媒体掲載値"))))))))</f>
        <v/>
      </c>
      <c r="O26" s="8" t="inlineStr">
        <is>
          <t>2026-07-31</t>
        </is>
      </c>
      <c r="P26" s="8" t="inlineStr">
        <is>
          <t>戸畑区外(八幡西区)。市内相場の参考として記載</t>
        </is>
      </c>
    </row>
    <row r="27">
      <c r="A27" s="7" t="n">
        <v>22</v>
      </c>
      <c r="B27" s="7" t="inlineStr">
        <is>
          <t>新池店</t>
        </is>
      </c>
      <c r="C27" s="7" t="inlineStr">
        <is>
          <t>ファミレス(市内参考)</t>
        </is>
      </c>
      <c r="D27" s="7" t="inlineStr">
        <is>
          <t>ジョイフル 小倉熊本店(小倉北区)</t>
        </is>
      </c>
      <c r="E27" s="7" t="inlineStr">
        <is>
          <t>北九州市小倉北区</t>
        </is>
      </c>
      <c r="F27" s="7" t="inlineStr">
        <is>
          <t>job148087216</t>
        </is>
      </c>
      <c r="G27" s="7" t="n">
        <v>1042</v>
      </c>
      <c r="H27" s="7" t="inlineStr">
        <is>
          <t>15-18時 1,042円</t>
        </is>
      </c>
      <c r="I27" s="7" t="inlineStr">
        <is>
          <t>対象求人本文</t>
        </is>
      </c>
      <c r="J27" s="7" t="inlineStr">
        <is>
          <t>https://www.baitoru.com/kyushu/jlist/fukuoka/kitakyusyushi/kitakyushushikokurakitaku/job148087216/</t>
        </is>
      </c>
      <c r="K27" s="7" t="n">
        <v>1057</v>
      </c>
      <c r="L27" s="7">
        <f>IF(G27="","-",IF(G27&lt;K27,"割れ(旧掲載疑い)","OK"))</f>
        <v/>
      </c>
      <c r="M27" s="7">
        <f>IF(AND(D27&lt;&gt;"",E27&lt;&gt;"",F27&lt;&gt;"",G27&lt;&gt;""),"充足","不足")</f>
        <v/>
      </c>
      <c r="N27" s="7">
        <f>IF(I27="近隣求人欄","未確定(近隣欄からの抽出)",IF(I27="ブランド共通","未確定(店舗非固有)",IF(I27="施設一般","未確定(施設一般値)",IF(I27="店舗非特定","未確定(店舗非特定)",IF(I27="情報源矛盾","未確定(情報源の矛盾)",IF(G27="","取得不能",IF(L27="割れ(旧掲載疑い)","未確定(最低賃金割れ)",IF(M27="不足","未確定(証拠不足)","媒体掲載値"))))))))</f>
        <v/>
      </c>
      <c r="O27" s="7" t="inlineStr">
        <is>
          <t>2026-07-31</t>
        </is>
      </c>
      <c r="P27" s="7" t="inlineStr">
        <is>
          <t>★福岡県最低賃金1,057円を下回る=旧掲載</t>
        </is>
      </c>
    </row>
    <row r="28">
      <c r="A28" s="8" t="n">
        <v>23</v>
      </c>
      <c r="B28" s="8" t="inlineStr">
        <is>
          <t>新池店</t>
        </is>
      </c>
      <c r="C28" s="8" t="inlineStr">
        <is>
          <t>ファストフード</t>
        </is>
      </c>
      <c r="D28" s="8" t="inlineStr">
        <is>
          <t>マクドナルド 戸畑夜宮店</t>
        </is>
      </c>
      <c r="E28" s="8" t="inlineStr">
        <is>
          <t>北九州市戸畑区夜宮</t>
        </is>
      </c>
      <c r="F28" s="8" t="inlineStr">
        <is>
          <t>job156939010</t>
        </is>
      </c>
      <c r="G28" s="8" t="n">
        <v>1060</v>
      </c>
      <c r="H28" s="8" t="inlineStr">
        <is>
          <t>22-5時 25%UP</t>
        </is>
      </c>
      <c r="I28" s="8" t="inlineStr">
        <is>
          <t>対象求人本文</t>
        </is>
      </c>
      <c r="J28" s="8" t="inlineStr">
        <is>
          <t>https://www.baitoru.com/kyushu/jlist/fukuoka/kitakyusyushi/kitakyushushitobataku/job156939010/</t>
        </is>
      </c>
      <c r="K28" s="8" t="n">
        <v>1057</v>
      </c>
      <c r="L28" s="8">
        <f>IF(G28="","-",IF(G28&lt;K28,"割れ(旧掲載疑い)","OK"))</f>
        <v/>
      </c>
      <c r="M28" s="8">
        <f>IF(AND(D28&lt;&gt;"",E28&lt;&gt;"",F28&lt;&gt;"",G28&lt;&gt;""),"充足","不足")</f>
        <v/>
      </c>
      <c r="N28" s="8">
        <f>IF(I28="近隣求人欄","未確定(近隣欄からの抽出)",IF(I28="ブランド共通","未確定(店舗非固有)",IF(I28="施設一般","未確定(施設一般値)",IF(I28="店舗非特定","未確定(店舗非特定)",IF(I28="情報源矛盾","未確定(情報源の矛盾)",IF(G28="","取得不能",IF(L28="割れ(旧掲載疑い)","未確定(最低賃金割れ)",IF(M28="不足","未確定(証拠不足)","媒体掲載値"))))))))</f>
        <v/>
      </c>
      <c r="O28" s="8" t="inlineStr">
        <is>
          <t>2026-07-31</t>
        </is>
      </c>
      <c r="P28" s="8" t="inlineStr"/>
    </row>
    <row r="29">
      <c r="A29" s="7" t="n">
        <v>24</v>
      </c>
      <c r="B29" s="7" t="inlineStr">
        <is>
          <t>新池店</t>
        </is>
      </c>
      <c r="C29" s="7" t="inlineStr">
        <is>
          <t>ファストフード</t>
        </is>
      </c>
      <c r="D29" s="7" t="inlineStr">
        <is>
          <t>マクドナルド イオン戸畑SC店</t>
        </is>
      </c>
      <c r="E29" s="7" t="inlineStr">
        <is>
          <t>北九州市戸畑区汐井町2-2</t>
        </is>
      </c>
      <c r="F29" s="7" t="inlineStr">
        <is>
          <t>40564</t>
        </is>
      </c>
      <c r="G29" s="7" t="n">
        <v>1057</v>
      </c>
      <c r="H29" s="7" t="inlineStr">
        <is>
          <t>媒体A: 高校生1,057円～／22-5時25%UP　媒体B: 時給900円</t>
        </is>
      </c>
      <c r="I29" s="7" t="inlineStr">
        <is>
          <t>情報源矛盾</t>
        </is>
      </c>
      <c r="J29" s="7" t="inlineStr">
        <is>
          <t>https://crewrecruiting.mcdonalds.co.jp/map/40564</t>
        </is>
      </c>
      <c r="K29" s="7" t="n">
        <v>1057</v>
      </c>
      <c r="L29" s="7">
        <f>IF(G29="","-",IF(G29&lt;K29,"割れ(旧掲載疑い)","OK"))</f>
        <v/>
      </c>
      <c r="M29" s="7">
        <f>IF(AND(D29&lt;&gt;"",E29&lt;&gt;"",F29&lt;&gt;"",G29&lt;&gt;""),"充足","不足")</f>
        <v/>
      </c>
      <c r="N29" s="7">
        <f>IF(I29="近隣求人欄","未確定(近隣欄からの抽出)",IF(I29="ブランド共通","未確定(店舗非固有)",IF(I29="施設一般","未確定(施設一般値)",IF(I29="店舗非特定","未確定(店舗非特定)",IF(I29="情報源矛盾","未確定(情報源の矛盾)",IF(G29="","取得不能",IF(L29="割れ(旧掲載疑い)","未確定(最低賃金割れ)",IF(M29="不足","未確定(証拠不足)","媒体掲載値"))))))))</f>
        <v/>
      </c>
      <c r="O29" s="7" t="inlineStr">
        <is>
          <t>2026-07-31</t>
        </is>
      </c>
      <c r="P29" s="7" t="inlineStr">
        <is>
          <t>★同一店舗に1,057円と900円。900円は最賃を大きく下回る。どちらかを自動で選ばない</t>
        </is>
      </c>
    </row>
    <row r="30">
      <c r="A30" s="8" t="n">
        <v>25</v>
      </c>
      <c r="B30" s="8" t="inlineStr">
        <is>
          <t>新池店</t>
        </is>
      </c>
      <c r="C30" s="8" t="inlineStr">
        <is>
          <t>ファストフード</t>
        </is>
      </c>
      <c r="D30" s="8" t="inlineStr">
        <is>
          <t>ケンタッキー イオン戸畑</t>
        </is>
      </c>
      <c r="E30" s="8" t="inlineStr"/>
      <c r="F30" s="8" t="inlineStr"/>
      <c r="G30" s="8" t="n"/>
      <c r="H30" s="8" t="inlineStr">
        <is>
          <t>店舗別の掲載を取得できず</t>
        </is>
      </c>
      <c r="I30" s="8" t="inlineStr">
        <is>
          <t>未取得</t>
        </is>
      </c>
      <c r="J30" s="8" t="inlineStr">
        <is>
          <t>http://job-kfc.net/</t>
        </is>
      </c>
      <c r="K30" s="8" t="n">
        <v>1057</v>
      </c>
      <c r="L30" s="8">
        <f>IF(G30="","-",IF(G30&lt;K30,"割れ(旧掲載疑い)","OK"))</f>
        <v/>
      </c>
      <c r="M30" s="8">
        <f>IF(AND(D30&lt;&gt;"",E30&lt;&gt;"",F30&lt;&gt;"",G30&lt;&gt;""),"充足","不足")</f>
        <v/>
      </c>
      <c r="N30" s="8">
        <f>IF(I30="近隣求人欄","未確定(近隣欄からの抽出)",IF(I30="ブランド共通","未確定(店舗非固有)",IF(I30="施設一般","未確定(施設一般値)",IF(I30="店舗非特定","未確定(店舗非特定)",IF(I30="情報源矛盾","未確定(情報源の矛盾)",IF(G30="","取得不能",IF(L30="割れ(旧掲載疑い)","未確定(最低賃金割れ)",IF(M30="不足","未確定(証拠不足)","媒体掲載値"))))))))</f>
        <v/>
      </c>
      <c r="O30" s="8" t="inlineStr">
        <is>
          <t>2026-07-31</t>
        </is>
      </c>
      <c r="P30" s="8" t="inlineStr"/>
    </row>
    <row r="31">
      <c r="A31" s="7" t="n">
        <v>26</v>
      </c>
      <c r="B31" s="7" t="inlineStr">
        <is>
          <t>新池店</t>
        </is>
      </c>
      <c r="C31" s="7" t="inlineStr">
        <is>
          <t>ちゃんぽん・麺</t>
        </is>
      </c>
      <c r="D31" s="7" t="inlineStr">
        <is>
          <t>リンガーハット(北九州市)</t>
        </is>
      </c>
      <c r="E31" s="7" t="inlineStr"/>
      <c r="F31" s="7" t="inlineStr"/>
      <c r="G31" s="7" t="n">
        <v>1050</v>
      </c>
      <c r="H31" s="7" t="inlineStr">
        <is>
          <t>北九州市として1,050円／深夜1,313円／高校生1,050円</t>
        </is>
      </c>
      <c r="I31" s="7" t="inlineStr">
        <is>
          <t>店舗非特定</t>
        </is>
      </c>
      <c r="J31" s="7" t="inlineStr">
        <is>
          <t>https://jp.stanby.com/r_e05b4ff1dd56e024c1854ca5b82e2b3a</t>
        </is>
      </c>
      <c r="K31" s="7" t="n">
        <v>1057</v>
      </c>
      <c r="L31" s="7">
        <f>IF(G31="","-",IF(G31&lt;K31,"割れ(旧掲載疑い)","OK"))</f>
        <v/>
      </c>
      <c r="M31" s="7">
        <f>IF(AND(D31&lt;&gt;"",E31&lt;&gt;"",F31&lt;&gt;"",G31&lt;&gt;""),"充足","不足")</f>
        <v/>
      </c>
      <c r="N31" s="7">
        <f>IF(I31="近隣求人欄","未確定(近隣欄からの抽出)",IF(I31="ブランド共通","未確定(店舗非固有)",IF(I31="施設一般","未確定(施設一般値)",IF(I31="店舗非特定","未確定(店舗非特定)",IF(I31="情報源矛盾","未確定(情報源の矛盾)",IF(G31="","取得不能",IF(L31="割れ(旧掲載疑い)","未確定(最低賃金割れ)",IF(M31="不足","未確定(証拠不足)","媒体掲載値"))))))))</f>
        <v/>
      </c>
      <c r="O31" s="7" t="inlineStr">
        <is>
          <t>2026-07-31</t>
        </is>
      </c>
      <c r="P31" s="7" t="inlineStr">
        <is>
          <t>★チャチャタウン小倉など複数店が混在</t>
        </is>
      </c>
    </row>
    <row r="32">
      <c r="A32" s="8" t="n">
        <v>27</v>
      </c>
      <c r="B32" s="8" t="inlineStr">
        <is>
          <t>新池店</t>
        </is>
      </c>
      <c r="C32" s="8" t="inlineStr">
        <is>
          <t>回転寿司</t>
        </is>
      </c>
      <c r="D32" s="8" t="inlineStr">
        <is>
          <t>スシロー 戸畑鞘ヶ谷店</t>
        </is>
      </c>
      <c r="E32" s="8" t="inlineStr">
        <is>
          <t>北九州市戸畑区鞘ヶ谷</t>
        </is>
      </c>
      <c r="F32" s="8" t="inlineStr">
        <is>
          <t>スシロー戸畑鞘ヶ谷店</t>
        </is>
      </c>
      <c r="G32" s="8" t="n">
        <v>1100</v>
      </c>
      <c r="H32" s="8" t="inlineStr">
        <is>
          <t>求人表示 1,100～1,425円</t>
        </is>
      </c>
      <c r="I32" s="8" t="inlineStr">
        <is>
          <t>対象求人本文</t>
        </is>
      </c>
      <c r="J32" s="8" t="inlineStr">
        <is>
          <t>https://www.hatarako.net/fukuoka/kitakyushushi/kitakyushushitobataku/ktp30/</t>
        </is>
      </c>
      <c r="K32" s="8" t="n">
        <v>1057</v>
      </c>
      <c r="L32" s="8">
        <f>IF(G32="","-",IF(G32&lt;K32,"割れ(旧掲載疑い)","OK"))</f>
        <v/>
      </c>
      <c r="M32" s="8">
        <f>IF(AND(D32&lt;&gt;"",E32&lt;&gt;"",F32&lt;&gt;"",G32&lt;&gt;""),"充足","不足")</f>
        <v/>
      </c>
      <c r="N32" s="8">
        <f>IF(I32="近隣求人欄","未確定(近隣欄からの抽出)",IF(I32="ブランド共通","未確定(店舗非固有)",IF(I32="施設一般","未確定(施設一般値)",IF(I32="店舗非特定","未確定(店舗非特定)",IF(I32="情報源矛盾","未確定(情報源の矛盾)",IF(G32="","取得不能",IF(L32="割れ(旧掲載疑い)","未確定(最低賃金割れ)",IF(M32="不足","未確定(証拠不足)","媒体掲載値"))))))))</f>
        <v/>
      </c>
      <c r="O32" s="8" t="inlineStr">
        <is>
          <t>2026-07-31</t>
        </is>
      </c>
      <c r="P32" s="8" t="inlineStr"/>
    </row>
    <row r="33">
      <c r="A33" s="8" t="n">
        <v>28</v>
      </c>
      <c r="B33" s="8" t="inlineStr">
        <is>
          <t>新池店</t>
        </is>
      </c>
      <c r="C33" s="8" t="inlineStr">
        <is>
          <t>回転寿司</t>
        </is>
      </c>
      <c r="D33" s="8" t="inlineStr">
        <is>
          <t>はま寿司(戸畑)</t>
        </is>
      </c>
      <c r="E33" s="8" t="inlineStr"/>
      <c r="F33" s="8" t="inlineStr"/>
      <c r="G33" s="8" t="n"/>
      <c r="H33" s="8" t="inlineStr">
        <is>
          <t>戸畑区の店舗別掲載を取得できず</t>
        </is>
      </c>
      <c r="I33" s="8" t="inlineStr">
        <is>
          <t>未取得</t>
        </is>
      </c>
      <c r="J33" s="8" t="inlineStr">
        <is>
          <t>https://work.hama-sushi.co.jp/</t>
        </is>
      </c>
      <c r="K33" s="8" t="n">
        <v>1057</v>
      </c>
      <c r="L33" s="8">
        <f>IF(G33="","-",IF(G33&lt;K33,"割れ(旧掲載疑い)","OK"))</f>
        <v/>
      </c>
      <c r="M33" s="8">
        <f>IF(AND(D33&lt;&gt;"",E33&lt;&gt;"",F33&lt;&gt;"",G33&lt;&gt;""),"充足","不足")</f>
        <v/>
      </c>
      <c r="N33" s="8">
        <f>IF(I33="近隣求人欄","未確定(近隣欄からの抽出)",IF(I33="ブランド共通","未確定(店舗非固有)",IF(I33="施設一般","未確定(施設一般値)",IF(I33="店舗非特定","未確定(店舗非特定)",IF(I33="情報源矛盾","未確定(情報源の矛盾)",IF(G33="","取得不能",IF(L33="割れ(旧掲載疑い)","未確定(最低賃金割れ)",IF(M33="不足","未確定(証拠不足)","媒体掲載値"))))))))</f>
        <v/>
      </c>
      <c r="O33" s="8" t="inlineStr">
        <is>
          <t>2026-07-31</t>
        </is>
      </c>
      <c r="P33" s="8" t="inlineStr"/>
    </row>
    <row r="34">
      <c r="A34" s="7" t="n">
        <v>29</v>
      </c>
      <c r="B34" s="7" t="inlineStr">
        <is>
          <t>新池店</t>
        </is>
      </c>
      <c r="C34" s="7" t="inlineStr">
        <is>
          <t>回転寿司</t>
        </is>
      </c>
      <c r="D34" s="7" t="inlineStr">
        <is>
          <t>くら寿司(小倉北区)</t>
        </is>
      </c>
      <c r="E34" s="7" t="inlineStr">
        <is>
          <t>北九州市小倉北区</t>
        </is>
      </c>
      <c r="F34" s="7" t="inlineStr"/>
      <c r="G34" s="7" t="n">
        <v>1030</v>
      </c>
      <c r="H34" s="7" t="inlineStr">
        <is>
          <t>1,030円以上／高校生1,000円以上／閉店作業1,030～1,288円</t>
        </is>
      </c>
      <c r="I34" s="7" t="inlineStr">
        <is>
          <t>店舗非特定</t>
        </is>
      </c>
      <c r="J34" s="7" t="inlineStr">
        <is>
          <t>https://kura-job.net/jobfind-pc/area/KyushuOkinawa/Fukuoka/40106</t>
        </is>
      </c>
      <c r="K34" s="7" t="n">
        <v>1057</v>
      </c>
      <c r="L34" s="7">
        <f>IF(G34="","-",IF(G34&lt;K34,"割れ(旧掲載疑い)","OK"))</f>
        <v/>
      </c>
      <c r="M34" s="7">
        <f>IF(AND(D34&lt;&gt;"",E34&lt;&gt;"",F34&lt;&gt;"",G34&lt;&gt;""),"充足","不足")</f>
        <v/>
      </c>
      <c r="N34" s="7">
        <f>IF(I34="近隣求人欄","未確定(近隣欄からの抽出)",IF(I34="ブランド共通","未確定(店舗非固有)",IF(I34="施設一般","未確定(施設一般値)",IF(I34="店舗非特定","未確定(店舗非特定)",IF(I34="情報源矛盾","未確定(情報源の矛盾)",IF(G34="","取得不能",IF(L34="割れ(旧掲載疑い)","未確定(最低賃金割れ)",IF(M34="不足","未確定(証拠不足)","媒体掲載値"))))))))</f>
        <v/>
      </c>
      <c r="O34" s="7" t="inlineStr">
        <is>
          <t>2026-07-31</t>
        </is>
      </c>
      <c r="P34" s="7" t="inlineStr">
        <is>
          <t>★戸畑区外かつ店舗未特定。1,030円は最賃割れ</t>
        </is>
      </c>
    </row>
    <row r="35">
      <c r="A35" s="8" t="n">
        <v>30</v>
      </c>
      <c r="B35" s="8" t="inlineStr">
        <is>
          <t>新池店</t>
        </is>
      </c>
      <c r="C35" s="8" t="inlineStr">
        <is>
          <t>商業施設</t>
        </is>
      </c>
      <c r="D35" s="8" t="inlineStr">
        <is>
          <t>ミスタードーナツ イオン戸畑店</t>
        </is>
      </c>
      <c r="E35" s="8" t="inlineStr">
        <is>
          <t>北九州市戸畑区汐井町(イオン戸畑1F)</t>
        </is>
      </c>
      <c r="F35" s="8" t="inlineStr"/>
      <c r="G35" s="8" t="n"/>
      <c r="H35" s="8" t="inlineStr">
        <is>
          <t>時給の記載を取得できず</t>
        </is>
      </c>
      <c r="I35" s="8" t="inlineStr">
        <is>
          <t>未取得</t>
        </is>
      </c>
      <c r="J35" s="8" t="inlineStr">
        <is>
          <t>https://kyusaku.jp/</t>
        </is>
      </c>
      <c r="K35" s="8" t="n">
        <v>1057</v>
      </c>
      <c r="L35" s="8">
        <f>IF(G35="","-",IF(G35&lt;K35,"割れ(旧掲載疑い)","OK"))</f>
        <v/>
      </c>
      <c r="M35" s="8">
        <f>IF(AND(D35&lt;&gt;"",E35&lt;&gt;"",F35&lt;&gt;"",G35&lt;&gt;""),"充足","不足")</f>
        <v/>
      </c>
      <c r="N35" s="8">
        <f>IF(I35="近隣求人欄","未確定(近隣欄からの抽出)",IF(I35="ブランド共通","未確定(店舗非固有)",IF(I35="施設一般","未確定(施設一般値)",IF(I35="店舗非特定","未確定(店舗非特定)",IF(I35="情報源矛盾","未確定(情報源の矛盾)",IF(G35="","取得不能",IF(L35="割れ(旧掲載疑い)","未確定(最低賃金割れ)",IF(M35="不足","未確定(証拠不足)","媒体掲載値"))))))))</f>
        <v/>
      </c>
      <c r="O35" s="8" t="inlineStr">
        <is>
          <t>2026-07-31</t>
        </is>
      </c>
      <c r="P35" s="8" t="inlineStr"/>
    </row>
    <row r="36">
      <c r="A36" s="7" t="n">
        <v>31</v>
      </c>
      <c r="B36" s="7" t="inlineStr">
        <is>
          <t>宗像店</t>
        </is>
      </c>
      <c r="C36" s="7" t="inlineStr">
        <is>
          <t>うどん・そば</t>
        </is>
      </c>
      <c r="D36" s="7" t="inlineStr">
        <is>
          <t>うどんウエスト 宗像店</t>
        </is>
      </c>
      <c r="E36" s="7" t="inlineStr">
        <is>
          <t>福岡県宗像市</t>
        </is>
      </c>
      <c r="F36" s="7" t="inlineStr">
        <is>
          <t>job/All/819</t>
        </is>
      </c>
      <c r="G36" s="7" t="n">
        <v>1000</v>
      </c>
      <c r="H36" s="7" t="inlineStr">
        <is>
          <t>1,000～1,250円／22時以降1,250円以上</t>
        </is>
      </c>
      <c r="I36" s="7" t="inlineStr">
        <is>
          <t>対象求人本文</t>
        </is>
      </c>
      <c r="J36" s="7" t="inlineStr">
        <is>
          <t>https://west-saiyou.net/jobfind-pc/job/All/819</t>
        </is>
      </c>
      <c r="K36" s="7" t="n">
        <v>1057</v>
      </c>
      <c r="L36" s="7">
        <f>IF(G36="","-",IF(G36&lt;K36,"割れ(旧掲載疑い)","OK"))</f>
        <v/>
      </c>
      <c r="M36" s="7">
        <f>IF(AND(D36&lt;&gt;"",E36&lt;&gt;"",F36&lt;&gt;"",G36&lt;&gt;""),"充足","不足")</f>
        <v/>
      </c>
      <c r="N36" s="7">
        <f>IF(I36="近隣求人欄","未確定(近隣欄からの抽出)",IF(I36="ブランド共通","未確定(店舗非固有)",IF(I36="施設一般","未確定(施設一般値)",IF(I36="店舗非特定","未確定(店舗非特定)",IF(I36="情報源矛盾","未確定(情報源の矛盾)",IF(G36="","取得不能",IF(L36="割れ(旧掲載疑い)","未確定(最低賃金割れ)",IF(M36="不足","未確定(証拠不足)","媒体掲載値"))))))))</f>
        <v/>
      </c>
      <c r="O36" s="7" t="inlineStr">
        <is>
          <t>2026-07-31</t>
        </is>
      </c>
      <c r="P36" s="7" t="inlineStr">
        <is>
          <t>★福岡県最低賃金1,057円を下回る=旧掲載。直接競合のうどん業態</t>
        </is>
      </c>
    </row>
    <row r="37">
      <c r="A37" s="8" t="n">
        <v>32</v>
      </c>
      <c r="B37" s="8" t="inlineStr">
        <is>
          <t>宗像店</t>
        </is>
      </c>
      <c r="C37" s="8" t="inlineStr">
        <is>
          <t>うどん・そば</t>
        </is>
      </c>
      <c r="D37" s="8" t="inlineStr">
        <is>
          <t>丸亀製麺(宗像周辺)</t>
        </is>
      </c>
      <c r="E37" s="8" t="inlineStr"/>
      <c r="F37" s="8" t="inlineStr"/>
      <c r="G37" s="8" t="n"/>
      <c r="H37" s="8" t="inlineStr">
        <is>
          <t>店舗別の掲載を取得できず</t>
        </is>
      </c>
      <c r="I37" s="8" t="inlineStr">
        <is>
          <t>未取得</t>
        </is>
      </c>
      <c r="J37" s="8" t="inlineStr">
        <is>
          <t>https://jobs.toridoll.com/marugame</t>
        </is>
      </c>
      <c r="K37" s="8" t="n">
        <v>1057</v>
      </c>
      <c r="L37" s="8">
        <f>IF(G37="","-",IF(G37&lt;K37,"割れ(旧掲載疑い)","OK"))</f>
        <v/>
      </c>
      <c r="M37" s="8">
        <f>IF(AND(D37&lt;&gt;"",E37&lt;&gt;"",F37&lt;&gt;"",G37&lt;&gt;""),"充足","不足")</f>
        <v/>
      </c>
      <c r="N37" s="8">
        <f>IF(I37="近隣求人欄","未確定(近隣欄からの抽出)",IF(I37="ブランド共通","未確定(店舗非固有)",IF(I37="施設一般","未確定(施設一般値)",IF(I37="店舗非特定","未確定(店舗非特定)",IF(I37="情報源矛盾","未確定(情報源の矛盾)",IF(G37="","取得不能",IF(L37="割れ(旧掲載疑い)","未確定(最低賃金割れ)",IF(M37="不足","未確定(証拠不足)","媒体掲載値"))))))))</f>
        <v/>
      </c>
      <c r="O37" s="8" t="inlineStr">
        <is>
          <t>2026-07-31</t>
        </is>
      </c>
      <c r="P37" s="8" t="inlineStr"/>
    </row>
    <row r="38">
      <c r="A38" s="8" t="n">
        <v>33</v>
      </c>
      <c r="B38" s="8" t="inlineStr">
        <is>
          <t>宗像店</t>
        </is>
      </c>
      <c r="C38" s="8" t="inlineStr">
        <is>
          <t>牛丼・定食</t>
        </is>
      </c>
      <c r="D38" s="8" t="inlineStr">
        <is>
          <t>すき家 宗像赤間店</t>
        </is>
      </c>
      <c r="E38" s="8" t="inlineStr">
        <is>
          <t>福岡県宗像市赤間</t>
        </is>
      </c>
      <c r="F38" s="8" t="inlineStr">
        <is>
          <t>job/All/10587</t>
        </is>
      </c>
      <c r="G38" s="8" t="n">
        <v>1070</v>
      </c>
      <c r="H38" s="8" t="inlineStr">
        <is>
          <t>1,070～1,338円／深夜1,338円／高校生1,060円／早朝(5-9時)+150円</t>
        </is>
      </c>
      <c r="I38" s="8" t="inlineStr">
        <is>
          <t>対象求人本文</t>
        </is>
      </c>
      <c r="J38" s="8" t="inlineStr">
        <is>
          <t>https://work.sukiya.jp/brand-jobfind/job/All/10587</t>
        </is>
      </c>
      <c r="K38" s="8" t="n">
        <v>1057</v>
      </c>
      <c r="L38" s="8">
        <f>IF(G38="","-",IF(G38&lt;K38,"割れ(旧掲載疑い)","OK"))</f>
        <v/>
      </c>
      <c r="M38" s="8">
        <f>IF(AND(D38&lt;&gt;"",E38&lt;&gt;"",F38&lt;&gt;"",G38&lt;&gt;""),"充足","不足")</f>
        <v/>
      </c>
      <c r="N38" s="8">
        <f>IF(I38="近隣求人欄","未確定(近隣欄からの抽出)",IF(I38="ブランド共通","未確定(店舗非固有)",IF(I38="施設一般","未確定(施設一般値)",IF(I38="店舗非特定","未確定(店舗非特定)",IF(I38="情報源矛盾","未確定(情報源の矛盾)",IF(G38="","取得不能",IF(L38="割れ(旧掲載疑い)","未確定(最低賃金割れ)",IF(M38="不足","未確定(証拠不足)","媒体掲載値"))))))))</f>
        <v/>
      </c>
      <c r="O38" s="8" t="inlineStr">
        <is>
          <t>2026-07-31</t>
        </is>
      </c>
      <c r="P38" s="8" t="inlineStr"/>
    </row>
    <row r="39">
      <c r="A39" s="7" t="n">
        <v>34</v>
      </c>
      <c r="B39" s="7" t="inlineStr">
        <is>
          <t>宗像店</t>
        </is>
      </c>
      <c r="C39" s="7" t="inlineStr">
        <is>
          <t>牛丼・定食</t>
        </is>
      </c>
      <c r="D39" s="7" t="inlineStr">
        <is>
          <t>吉野家 3号線宗像店</t>
        </is>
      </c>
      <c r="E39" s="7" t="inlineStr">
        <is>
          <t>福岡県宗像市</t>
        </is>
      </c>
      <c r="F39" s="7" t="inlineStr">
        <is>
          <t>3号線宗像店</t>
        </is>
      </c>
      <c r="G39" s="7" t="n">
        <v>1000</v>
      </c>
      <c r="H39" s="7" t="inlineStr">
        <is>
          <t>求人表示 1,000～1,250円</t>
        </is>
      </c>
      <c r="I39" s="7" t="inlineStr">
        <is>
          <t>対象求人本文</t>
        </is>
      </c>
      <c r="J39" s="7" t="inlineStr">
        <is>
          <t>https://www.yoshinoya.com/baito/op71872/alist/</t>
        </is>
      </c>
      <c r="K39" s="7" t="n">
        <v>1057</v>
      </c>
      <c r="L39" s="7">
        <f>IF(G39="","-",IF(G39&lt;K39,"割れ(旧掲載疑い)","OK"))</f>
        <v/>
      </c>
      <c r="M39" s="7">
        <f>IF(AND(D39&lt;&gt;"",E39&lt;&gt;"",F39&lt;&gt;"",G39&lt;&gt;""),"充足","不足")</f>
        <v/>
      </c>
      <c r="N39" s="7">
        <f>IF(I39="近隣求人欄","未確定(近隣欄からの抽出)",IF(I39="ブランド共通","未確定(店舗非固有)",IF(I39="施設一般","未確定(施設一般値)",IF(I39="店舗非特定","未確定(店舗非特定)",IF(I39="情報源矛盾","未確定(情報源の矛盾)",IF(G39="","取得不能",IF(L39="割れ(旧掲載疑い)","未確定(最低賃金割れ)",IF(M39="不足","未確定(証拠不足)","媒体掲載値"))))))))</f>
        <v/>
      </c>
      <c r="O39" s="7" t="inlineStr">
        <is>
          <t>2026-07-31</t>
        </is>
      </c>
      <c r="P39" s="7" t="inlineStr">
        <is>
          <t>★福岡県最低賃金1,057円を下回る=旧掲載</t>
        </is>
      </c>
    </row>
    <row r="40">
      <c r="A40" s="8" t="n">
        <v>35</v>
      </c>
      <c r="B40" s="8" t="inlineStr">
        <is>
          <t>宗像店</t>
        </is>
      </c>
      <c r="C40" s="8" t="inlineStr">
        <is>
          <t>ファミレス</t>
        </is>
      </c>
      <c r="D40" s="8" t="inlineStr">
        <is>
          <t>ジョイフル 宗像徳重店</t>
        </is>
      </c>
      <c r="E40" s="8" t="inlineStr">
        <is>
          <t>福岡県宗像市徳重</t>
        </is>
      </c>
      <c r="F40" s="8" t="inlineStr">
        <is>
          <t>ジョイフル宗像徳重店</t>
        </is>
      </c>
      <c r="G40" s="8" t="n">
        <v>1150</v>
      </c>
      <c r="H40" s="8" t="inlineStr">
        <is>
          <t>9:00-15:00 の時給</t>
        </is>
      </c>
      <c r="I40" s="8" t="inlineStr">
        <is>
          <t>対象求人本文</t>
        </is>
      </c>
      <c r="J40" s="8" t="inlineStr">
        <is>
          <t>https://www.baitoru.com/kyushu/jlist/fukuoka/kitakyusyushiigai/munakatashi/food/</t>
        </is>
      </c>
      <c r="K40" s="8" t="n">
        <v>1057</v>
      </c>
      <c r="L40" s="8">
        <f>IF(G40="","-",IF(G40&lt;K40,"割れ(旧掲載疑い)","OK"))</f>
        <v/>
      </c>
      <c r="M40" s="8">
        <f>IF(AND(D40&lt;&gt;"",E40&lt;&gt;"",F40&lt;&gt;"",G40&lt;&gt;""),"充足","不足")</f>
        <v/>
      </c>
      <c r="N40" s="8">
        <f>IF(I40="近隣求人欄","未確定(近隣欄からの抽出)",IF(I40="ブランド共通","未確定(店舗非固有)",IF(I40="施設一般","未確定(施設一般値)",IF(I40="店舗非特定","未確定(店舗非特定)",IF(I40="情報源矛盾","未確定(情報源の矛盾)",IF(G40="","取得不能",IF(L40="割れ(旧掲載疑い)","未確定(最低賃金割れ)",IF(M40="不足","未確定(証拠不足)","媒体掲載値"))))))))</f>
        <v/>
      </c>
      <c r="O40" s="8" t="inlineStr">
        <is>
          <t>2026-07-31</t>
        </is>
      </c>
      <c r="P40" s="8" t="inlineStr"/>
    </row>
    <row r="41">
      <c r="A41" s="7" t="n">
        <v>36</v>
      </c>
      <c r="B41" s="7" t="inlineStr">
        <is>
          <t>宗像店</t>
        </is>
      </c>
      <c r="C41" s="7" t="inlineStr">
        <is>
          <t>ファストフード</t>
        </is>
      </c>
      <c r="D41" s="7" t="inlineStr">
        <is>
          <t>マクドナルド 宗像サンリブ店</t>
        </is>
      </c>
      <c r="E41" s="7" t="inlineStr">
        <is>
          <t>福岡県宗像市くりえいと1-5-1(赤間駅徒歩11分)</t>
        </is>
      </c>
      <c r="F41" s="7" t="inlineStr">
        <is>
          <t>job156943548</t>
        </is>
      </c>
      <c r="G41" s="7" t="n">
        <v>1000</v>
      </c>
      <c r="H41" s="7" t="inlineStr">
        <is>
          <t>1,000円以上</t>
        </is>
      </c>
      <c r="I41" s="7" t="inlineStr">
        <is>
          <t>対象求人本文</t>
        </is>
      </c>
      <c r="J41" s="7" t="inlineStr">
        <is>
          <t>https://www.baitoru.com/kyushu/jlist/fukuoka/kitakyusyushiigai/munakatashi/job156943548/</t>
        </is>
      </c>
      <c r="K41" s="7" t="n">
        <v>1057</v>
      </c>
      <c r="L41" s="7">
        <f>IF(G41="","-",IF(G41&lt;K41,"割れ(旧掲載疑い)","OK"))</f>
        <v/>
      </c>
      <c r="M41" s="7">
        <f>IF(AND(D41&lt;&gt;"",E41&lt;&gt;"",F41&lt;&gt;"",G41&lt;&gt;""),"充足","不足")</f>
        <v/>
      </c>
      <c r="N41" s="7">
        <f>IF(I41="近隣求人欄","未確定(近隣欄からの抽出)",IF(I41="ブランド共通","未確定(店舗非固有)",IF(I41="施設一般","未確定(施設一般値)",IF(I41="店舗非特定","未確定(店舗非特定)",IF(I41="情報源矛盾","未確定(情報源の矛盾)",IF(G41="","取得不能",IF(L41="割れ(旧掲載疑い)","未確定(最低賃金割れ)",IF(M41="不足","未確定(証拠不足)","媒体掲載値"))))))))</f>
        <v/>
      </c>
      <c r="O41" s="7" t="inlineStr">
        <is>
          <t>2026-07-31</t>
        </is>
      </c>
      <c r="P41" s="7" t="inlineStr">
        <is>
          <t>★福岡県最低賃金1,057円を下回る=旧掲載</t>
        </is>
      </c>
    </row>
    <row r="42">
      <c r="A42" s="7" t="n">
        <v>37</v>
      </c>
      <c r="B42" s="7" t="inlineStr">
        <is>
          <t>宗像店</t>
        </is>
      </c>
      <c r="C42" s="7" t="inlineStr">
        <is>
          <t>ファストフード</t>
        </is>
      </c>
      <c r="D42" s="7" t="inlineStr">
        <is>
          <t>マクドナルド 宗像ミスターマックス店</t>
        </is>
      </c>
      <c r="E42" s="7" t="inlineStr">
        <is>
          <t>福岡県宗像市(赤間駅)</t>
        </is>
      </c>
      <c r="F42" s="7" t="inlineStr">
        <is>
          <t>job60558394</t>
        </is>
      </c>
      <c r="G42" s="7" t="n">
        <v>992</v>
      </c>
      <c r="H42" s="7" t="inlineStr">
        <is>
          <t>992～1,250円／高校生992円～／22-5時25%UP</t>
        </is>
      </c>
      <c r="I42" s="7" t="inlineStr">
        <is>
          <t>対象求人本文</t>
        </is>
      </c>
      <c r="J42" s="7" t="inlineStr">
        <is>
          <t>https://www.baitoru.com/kyushu/jlist/fukuoka/kitakyusyushiigai/munakatashi/job60558394/</t>
        </is>
      </c>
      <c r="K42" s="7" t="n">
        <v>1057</v>
      </c>
      <c r="L42" s="7">
        <f>IF(G42="","-",IF(G42&lt;K42,"割れ(旧掲載疑い)","OK"))</f>
        <v/>
      </c>
      <c r="M42" s="7">
        <f>IF(AND(D42&lt;&gt;"",E42&lt;&gt;"",F42&lt;&gt;"",G42&lt;&gt;""),"充足","不足")</f>
        <v/>
      </c>
      <c r="N42" s="7">
        <f>IF(I42="近隣求人欄","未確定(近隣欄からの抽出)",IF(I42="ブランド共通","未確定(店舗非固有)",IF(I42="施設一般","未確定(施設一般値)",IF(I42="店舗非特定","未確定(店舗非特定)",IF(I42="情報源矛盾","未確定(情報源の矛盾)",IF(G42="","取得不能",IF(L42="割れ(旧掲載疑い)","未確定(最低賃金割れ)",IF(M42="不足","未確定(証拠不足)","媒体掲載値"))))))))</f>
        <v/>
      </c>
      <c r="O42" s="7" t="inlineStr">
        <is>
          <t>2026-07-31</t>
        </is>
      </c>
      <c r="P42" s="7" t="inlineStr">
        <is>
          <t>★福岡県最低賃金1,057円を大きく下回る=旧掲載</t>
        </is>
      </c>
    </row>
    <row r="43">
      <c r="A43" s="8" t="n">
        <v>38</v>
      </c>
      <c r="B43" s="8" t="inlineStr">
        <is>
          <t>宗像店</t>
        </is>
      </c>
      <c r="C43" s="8" t="inlineStr">
        <is>
          <t>ファストフード</t>
        </is>
      </c>
      <c r="D43" s="8" t="inlineStr">
        <is>
          <t>ケンタッキー サンリブくりえいと宗像店</t>
        </is>
      </c>
      <c r="E43" s="8" t="inlineStr">
        <is>
          <t>福岡県宗像市(JR赤間駅徒歩8分)</t>
        </is>
      </c>
      <c r="F43" s="8" t="inlineStr">
        <is>
          <t>くりえいと宗像店</t>
        </is>
      </c>
      <c r="G43" s="8" t="n">
        <v>1150</v>
      </c>
      <c r="H43" s="8" t="inlineStr">
        <is>
          <t>1,150円以上</t>
        </is>
      </c>
      <c r="I43" s="8" t="inlineStr">
        <is>
          <t>対象求人本文</t>
        </is>
      </c>
      <c r="J43" s="8" t="inlineStr">
        <is>
          <t>https://job-kfc.net/jobfind-pc/area/KyushuOkinawa/Fukuoka/40220</t>
        </is>
      </c>
      <c r="K43" s="8" t="n">
        <v>1057</v>
      </c>
      <c r="L43" s="8">
        <f>IF(G43="","-",IF(G43&lt;K43,"割れ(旧掲載疑い)","OK"))</f>
        <v/>
      </c>
      <c r="M43" s="8">
        <f>IF(AND(D43&lt;&gt;"",E43&lt;&gt;"",F43&lt;&gt;"",G43&lt;&gt;""),"充足","不足")</f>
        <v/>
      </c>
      <c r="N43" s="8">
        <f>IF(I43="近隣求人欄","未確定(近隣欄からの抽出)",IF(I43="ブランド共通","未確定(店舗非固有)",IF(I43="施設一般","未確定(施設一般値)",IF(I43="店舗非特定","未確定(店舗非特定)",IF(I43="情報源矛盾","未確定(情報源の矛盾)",IF(G43="","取得不能",IF(L43="割れ(旧掲載疑い)","未確定(最低賃金割れ)",IF(M43="不足","未確定(証拠不足)","媒体掲載値"))))))))</f>
        <v/>
      </c>
      <c r="O43" s="8" t="inlineStr">
        <is>
          <t>2026-07-31</t>
        </is>
      </c>
      <c r="P43" s="8" t="inlineStr"/>
    </row>
    <row r="44">
      <c r="A44" s="7" t="n">
        <v>39</v>
      </c>
      <c r="B44" s="7" t="inlineStr">
        <is>
          <t>宗像店</t>
        </is>
      </c>
      <c r="C44" s="7" t="inlineStr">
        <is>
          <t>ちゃんぽん・麺</t>
        </is>
      </c>
      <c r="D44" s="7" t="inlineStr">
        <is>
          <t>リンガーハット くりえいと宗像店</t>
        </is>
      </c>
      <c r="E44" s="7" t="inlineStr">
        <is>
          <t>福岡県宗像市くりえいと</t>
        </is>
      </c>
      <c r="F44" s="7" t="inlineStr">
        <is>
          <t>job85063672</t>
        </is>
      </c>
      <c r="G44" s="7" t="n">
        <v>1000</v>
      </c>
      <c r="H44" s="7" t="inlineStr">
        <is>
          <t>1,000円～／22時以降25%UP</t>
        </is>
      </c>
      <c r="I44" s="7" t="inlineStr">
        <is>
          <t>対象求人本文</t>
        </is>
      </c>
      <c r="J44" s="7" t="inlineStr">
        <is>
          <t>https://www.baitoru.com/kyushu/jlist/fukuoka/kitakyusyushiigai/munakatashi/job85063672/</t>
        </is>
      </c>
      <c r="K44" s="7" t="n">
        <v>1057</v>
      </c>
      <c r="L44" s="7">
        <f>IF(G44="","-",IF(G44&lt;K44,"割れ(旧掲載疑い)","OK"))</f>
        <v/>
      </c>
      <c r="M44" s="7">
        <f>IF(AND(D44&lt;&gt;"",E44&lt;&gt;"",F44&lt;&gt;"",G44&lt;&gt;""),"充足","不足")</f>
        <v/>
      </c>
      <c r="N44" s="7">
        <f>IF(I44="近隣求人欄","未確定(近隣欄からの抽出)",IF(I44="ブランド共通","未確定(店舗非固有)",IF(I44="施設一般","未確定(施設一般値)",IF(I44="店舗非特定","未確定(店舗非特定)",IF(I44="情報源矛盾","未確定(情報源の矛盾)",IF(G44="","取得不能",IF(L44="割れ(旧掲載疑い)","未確定(最低賃金割れ)",IF(M44="不足","未確定(証拠不足)","媒体掲載値"))))))))</f>
        <v/>
      </c>
      <c r="O44" s="7" t="inlineStr">
        <is>
          <t>2026-07-31</t>
        </is>
      </c>
      <c r="P44" s="7" t="inlineStr">
        <is>
          <t>★福岡県最低賃金1,057円を下回る=旧掲載</t>
        </is>
      </c>
    </row>
    <row r="45">
      <c r="A45" s="8" t="n">
        <v>40</v>
      </c>
      <c r="B45" s="8" t="inlineStr">
        <is>
          <t>宗像店</t>
        </is>
      </c>
      <c r="C45" s="8" t="inlineStr">
        <is>
          <t>回転寿司</t>
        </is>
      </c>
      <c r="D45" s="8" t="inlineStr">
        <is>
          <t>スシロー 宗像光岡店</t>
        </is>
      </c>
      <c r="E45" s="8" t="inlineStr">
        <is>
          <t>福岡県宗像市光岡</t>
        </is>
      </c>
      <c r="F45" s="8" t="inlineStr">
        <is>
          <t>job/All/627</t>
        </is>
      </c>
      <c r="G45" s="8" t="n">
        <v>1100</v>
      </c>
      <c r="H45" s="8" t="inlineStr">
        <is>
          <t>1,100円～/1,100～1,425円</t>
        </is>
      </c>
      <c r="I45" s="8" t="inlineStr">
        <is>
          <t>対象求人本文</t>
        </is>
      </c>
      <c r="J45" s="8" t="inlineStr">
        <is>
          <t>https://akindo-sushiro-job.net/jobfind-pc/job/All/627</t>
        </is>
      </c>
      <c r="K45" s="8" t="n">
        <v>1057</v>
      </c>
      <c r="L45" s="8">
        <f>IF(G45="","-",IF(G45&lt;K45,"割れ(旧掲載疑い)","OK"))</f>
        <v/>
      </c>
      <c r="M45" s="8">
        <f>IF(AND(D45&lt;&gt;"",E45&lt;&gt;"",F45&lt;&gt;"",G45&lt;&gt;""),"充足","不足")</f>
        <v/>
      </c>
      <c r="N45" s="8">
        <f>IF(I45="近隣求人欄","未確定(近隣欄からの抽出)",IF(I45="ブランド共通","未確定(店舗非固有)",IF(I45="施設一般","未確定(施設一般値)",IF(I45="店舗非特定","未確定(店舗非特定)",IF(I45="情報源矛盾","未確定(情報源の矛盾)",IF(G45="","取得不能",IF(L45="割れ(旧掲載疑い)","未確定(最低賃金割れ)",IF(M45="不足","未確定(証拠不足)","媒体掲載値"))))))))</f>
        <v/>
      </c>
      <c r="O45" s="8" t="inlineStr">
        <is>
          <t>2026-07-31</t>
        </is>
      </c>
      <c r="P45" s="8" t="inlineStr"/>
    </row>
    <row r="46">
      <c r="A46" s="8" t="n">
        <v>41</v>
      </c>
      <c r="B46" s="8" t="inlineStr">
        <is>
          <t>宗像店</t>
        </is>
      </c>
      <c r="C46" s="8" t="inlineStr">
        <is>
          <t>回転寿司</t>
        </is>
      </c>
      <c r="D46" s="8" t="inlineStr">
        <is>
          <t>無添くら寿司 宗像店</t>
        </is>
      </c>
      <c r="E46" s="8" t="inlineStr">
        <is>
          <t>福岡県宗像市</t>
        </is>
      </c>
      <c r="F46" s="8" t="inlineStr">
        <is>
          <t>job152014024</t>
        </is>
      </c>
      <c r="G46" s="8" t="n">
        <v>1060</v>
      </c>
      <c r="H46" s="8" t="inlineStr">
        <is>
          <t>パート1,060円以上／高校生1,057円以上／学生1,057～1,321円／ラスト1,120～1,400円／土日祝+30円／深夜25%UP</t>
        </is>
      </c>
      <c r="I46" s="8" t="inlineStr">
        <is>
          <t>対象求人本文</t>
        </is>
      </c>
      <c r="J46" s="8" t="inlineStr">
        <is>
          <t>https://www.baitoru.com/kyushu/jlist/fukuoka/kitakyusyushiigai/munakatashi/job152014024/</t>
        </is>
      </c>
      <c r="K46" s="8" t="n">
        <v>1057</v>
      </c>
      <c r="L46" s="8">
        <f>IF(G46="","-",IF(G46&lt;K46,"割れ(旧掲載疑い)","OK"))</f>
        <v/>
      </c>
      <c r="M46" s="8">
        <f>IF(AND(D46&lt;&gt;"",E46&lt;&gt;"",F46&lt;&gt;"",G46&lt;&gt;""),"充足","不足")</f>
        <v/>
      </c>
      <c r="N46" s="8">
        <f>IF(I46="近隣求人欄","未確定(近隣欄からの抽出)",IF(I46="ブランド共通","未確定(店舗非固有)",IF(I46="施設一般","未確定(施設一般値)",IF(I46="店舗非特定","未確定(店舗非特定)",IF(I46="情報源矛盾","未確定(情報源の矛盾)",IF(G46="","取得不能",IF(L46="割れ(旧掲載疑い)","未確定(最低賃金割れ)",IF(M46="不足","未確定(証拠不足)","媒体掲載値"))))))))</f>
        <v/>
      </c>
      <c r="O46" s="8" t="inlineStr">
        <is>
          <t>2026-07-31</t>
        </is>
      </c>
      <c r="P46" s="8" t="inlineStr"/>
    </row>
    <row r="47">
      <c r="A47" s="7" t="n">
        <v>42</v>
      </c>
      <c r="B47" s="7" t="inlineStr">
        <is>
          <t>宗像店</t>
        </is>
      </c>
      <c r="C47" s="7" t="inlineStr">
        <is>
          <t>商業施設</t>
        </is>
      </c>
      <c r="D47" s="7" t="inlineStr">
        <is>
          <t>サーティワンアイスクリーム くりえいと宗像店</t>
        </is>
      </c>
      <c r="E47" s="7" t="inlineStr">
        <is>
          <t>福岡県宗像市くりえいと</t>
        </is>
      </c>
      <c r="F47" s="7" t="inlineStr">
        <is>
          <t>4149645</t>
        </is>
      </c>
      <c r="G47" s="7" t="n"/>
      <c r="H47" s="7" t="inlineStr">
        <is>
          <t>確認時点で募集なし(公式求人サイトに掲載なし)</t>
        </is>
      </c>
      <c r="I47" s="7" t="inlineStr">
        <is>
          <t>未取得</t>
        </is>
      </c>
      <c r="J47" s="7" t="inlineStr">
        <is>
          <t>https://31ice-job.jp/detail/fukuoka/ct_220/4149645/</t>
        </is>
      </c>
      <c r="K47" s="7" t="n">
        <v>1057</v>
      </c>
      <c r="L47" s="7">
        <f>IF(G47="","-",IF(G47&lt;K47,"割れ(旧掲載疑い)","OK"))</f>
        <v/>
      </c>
      <c r="M47" s="7">
        <f>IF(AND(D47&lt;&gt;"",E47&lt;&gt;"",F47&lt;&gt;"",G47&lt;&gt;""),"充足","不足")</f>
        <v/>
      </c>
      <c r="N47" s="7">
        <f>IF(I47="近隣求人欄","未確定(近隣欄からの抽出)",IF(I47="ブランド共通","未確定(店舗非固有)",IF(I47="施設一般","未確定(施設一般値)",IF(I47="店舗非特定","未確定(店舗非特定)",IF(I47="情報源矛盾","未確定(情報源の矛盾)",IF(G47="","取得不能",IF(L47="割れ(旧掲載疑い)","未確定(最低賃金割れ)",IF(M47="不足","未確定(証拠不足)","媒体掲載値"))))))))</f>
        <v/>
      </c>
      <c r="O47" s="7" t="inlineStr">
        <is>
          <t>2026-07-31</t>
        </is>
      </c>
      <c r="P47" s="7" t="inlineStr">
        <is>
          <t>★他店の1,250～1,310円は別商圏。使用しない</t>
        </is>
      </c>
    </row>
    <row r="48">
      <c r="A48" s="8" t="n">
        <v>43</v>
      </c>
      <c r="B48" s="8" t="inlineStr">
        <is>
          <t>菊陽店</t>
        </is>
      </c>
      <c r="C48" s="8" t="inlineStr">
        <is>
          <t>うどん・そば</t>
        </is>
      </c>
      <c r="D48" s="8" t="inlineStr">
        <is>
          <t>丸亀製麺 ゆめタウン光の森店</t>
        </is>
      </c>
      <c r="E48" s="8" t="inlineStr">
        <is>
          <t>熊本県菊池郡菊陽町(JR光の森駅北口徒歩7分)</t>
        </is>
      </c>
      <c r="F48" s="8" t="inlineStr">
        <is>
          <t>A10701917410</t>
        </is>
      </c>
      <c r="G48" s="8" t="n">
        <v>1200</v>
      </c>
      <c r="H48" s="8" t="inlineStr">
        <is>
          <t>求人表示 1,200～1,500円／閉店作業 1,100円～／土曜+50円・日祝+100円</t>
        </is>
      </c>
      <c r="I48" s="8" t="inlineStr">
        <is>
          <t>対象求人本文</t>
        </is>
      </c>
      <c r="J48" s="8" t="inlineStr">
        <is>
          <t>https://toridoll-job.com/toridoll02/A10701917410/MDkyujin_d.htm</t>
        </is>
      </c>
      <c r="K48" s="8" t="n">
        <v>1034</v>
      </c>
      <c r="L48" s="8">
        <f>IF(G48="","-",IF(G48&lt;K48,"割れ(旧掲載疑い)","OK"))</f>
        <v/>
      </c>
      <c r="M48" s="8">
        <f>IF(AND(D48&lt;&gt;"",E48&lt;&gt;"",F48&lt;&gt;"",G48&lt;&gt;""),"充足","不足")</f>
        <v/>
      </c>
      <c r="N48" s="8">
        <f>IF(I48="近隣求人欄","未確定(近隣欄からの抽出)",IF(I48="ブランド共通","未確定(店舗非固有)",IF(I48="施設一般","未確定(施設一般値)",IF(I48="店舗非特定","未確定(店舗非特定)",IF(I48="情報源矛盾","未確定(情報源の矛盾)",IF(G48="","取得不能",IF(L48="割れ(旧掲載疑い)","未確定(最低賃金割れ)",IF(M48="不足","未確定(証拠不足)","媒体掲載値"))))))))</f>
        <v/>
      </c>
      <c r="O48" s="8" t="inlineStr">
        <is>
          <t>2026-07-31</t>
        </is>
      </c>
      <c r="P48" s="8" t="inlineStr"/>
    </row>
    <row r="49">
      <c r="A49" s="7" t="n">
        <v>44</v>
      </c>
      <c r="B49" s="7" t="inlineStr">
        <is>
          <t>菊陽店</t>
        </is>
      </c>
      <c r="C49" s="7" t="inlineStr">
        <is>
          <t>うどん・そば</t>
        </is>
      </c>
      <c r="D49" s="7" t="inlineStr">
        <is>
          <t>うどんウエスト 菊陽光の森店</t>
        </is>
      </c>
      <c r="E49" s="7" t="inlineStr">
        <is>
          <t>熊本県菊池郡菊陽町光の森</t>
        </is>
      </c>
      <c r="F49" s="7" t="inlineStr">
        <is>
          <t>job158925669</t>
        </is>
      </c>
      <c r="G49" s="7" t="n">
        <v>900</v>
      </c>
      <c r="H49" s="7" t="inlineStr">
        <is>
          <t>うどんコーナー 900円～/950円～／深夜早朝 1,400円～／土日祝+50円</t>
        </is>
      </c>
      <c r="I49" s="7" t="inlineStr">
        <is>
          <t>対象求人本文</t>
        </is>
      </c>
      <c r="J49" s="7" t="inlineStr">
        <is>
          <t>https://www.baitoru.com/kyushu/jlist/kumamoto/kumamotoshiigai/kikuchigun/job158925669/</t>
        </is>
      </c>
      <c r="K49" s="7" t="n">
        <v>1034</v>
      </c>
      <c r="L49" s="7">
        <f>IF(G49="","-",IF(G49&lt;K49,"割れ(旧掲載疑い)","OK"))</f>
        <v/>
      </c>
      <c r="M49" s="7">
        <f>IF(AND(D49&lt;&gt;"",E49&lt;&gt;"",F49&lt;&gt;"",G49&lt;&gt;""),"充足","不足")</f>
        <v/>
      </c>
      <c r="N49" s="7">
        <f>IF(I49="近隣求人欄","未確定(近隣欄からの抽出)",IF(I49="ブランド共通","未確定(店舗非固有)",IF(I49="施設一般","未確定(施設一般値)",IF(I49="店舗非特定","未確定(店舗非特定)",IF(I49="情報源矛盾","未確定(情報源の矛盾)",IF(G49="","取得不能",IF(L49="割れ(旧掲載疑い)","未確定(最低賃金割れ)",IF(M49="不足","未確定(証拠不足)","媒体掲載値"))))))))</f>
        <v/>
      </c>
      <c r="O49" s="7" t="inlineStr">
        <is>
          <t>2026-07-31</t>
        </is>
      </c>
      <c r="P49" s="7" t="inlineStr">
        <is>
          <t>★熊本県最低賃金1,034円を大きく下回る=2026-01-01改定前の旧掲載</t>
        </is>
      </c>
    </row>
    <row r="50">
      <c r="A50" s="8" t="n">
        <v>45</v>
      </c>
      <c r="B50" s="8" t="inlineStr">
        <is>
          <t>菊陽店</t>
        </is>
      </c>
      <c r="C50" s="8" t="inlineStr">
        <is>
          <t>ファミレス</t>
        </is>
      </c>
      <c r="D50" s="8" t="inlineStr">
        <is>
          <t>ジョイフル 菊陽店</t>
        </is>
      </c>
      <c r="E50" s="8" t="inlineStr">
        <is>
          <t>熊本県菊池郡菊陽町</t>
        </is>
      </c>
      <c r="F50" s="8" t="inlineStr">
        <is>
          <t>job155176308</t>
        </is>
      </c>
      <c r="G50" s="8" t="n">
        <v>1084</v>
      </c>
      <c r="H50" s="8" t="inlineStr">
        <is>
          <t>9-15時 1,250円／15-18時 1,084円／18-22時 1,200円／22-0時 1,355円／0-9時 1,438円／高校生 1,084円</t>
        </is>
      </c>
      <c r="I50" s="8" t="inlineStr">
        <is>
          <t>対象求人本文</t>
        </is>
      </c>
      <c r="J50" s="8" t="inlineStr">
        <is>
          <t>https://www.baitoru.com/kyushu/jlist/kumamoto/kumamotoshiigai/kikuchigun/job155176308/</t>
        </is>
      </c>
      <c r="K50" s="8" t="n">
        <v>1034</v>
      </c>
      <c r="L50" s="8">
        <f>IF(G50="","-",IF(G50&lt;K50,"割れ(旧掲載疑い)","OK"))</f>
        <v/>
      </c>
      <c r="M50" s="8">
        <f>IF(AND(D50&lt;&gt;"",E50&lt;&gt;"",F50&lt;&gt;"",G50&lt;&gt;""),"充足","不足")</f>
        <v/>
      </c>
      <c r="N50" s="8">
        <f>IF(I50="近隣求人欄","未確定(近隣欄からの抽出)",IF(I50="ブランド共通","未確定(店舗非固有)",IF(I50="施設一般","未確定(施設一般値)",IF(I50="店舗非特定","未確定(店舗非特定)",IF(I50="情報源矛盾","未確定(情報源の矛盾)",IF(G50="","取得不能",IF(L50="割れ(旧掲載疑い)","未確定(最低賃金割れ)",IF(M50="不足","未確定(証拠不足)","媒体掲載値"))))))))</f>
        <v/>
      </c>
      <c r="O50" s="8" t="inlineStr">
        <is>
          <t>2026-07-31</t>
        </is>
      </c>
      <c r="P50" s="8" t="inlineStr"/>
    </row>
    <row r="51">
      <c r="A51" s="8" t="n">
        <v>46</v>
      </c>
      <c r="B51" s="8" t="inlineStr">
        <is>
          <t>菊陽店</t>
        </is>
      </c>
      <c r="C51" s="8" t="inlineStr">
        <is>
          <t>ファミレス</t>
        </is>
      </c>
      <c r="D51" s="8" t="inlineStr">
        <is>
          <t>ジョイフル 大津店</t>
        </is>
      </c>
      <c r="E51" s="8" t="inlineStr">
        <is>
          <t>熊本県菊池郡菊陽町原水</t>
        </is>
      </c>
      <c r="F51" s="8" t="inlineStr">
        <is>
          <t>7379</t>
        </is>
      </c>
      <c r="G51" s="8" t="n"/>
      <c r="H51" s="8" t="inlineStr">
        <is>
          <t>時給の記載を取得できず</t>
        </is>
      </c>
      <c r="I51" s="8" t="inlineStr">
        <is>
          <t>未取得</t>
        </is>
      </c>
      <c r="J51" s="8" t="inlineStr">
        <is>
          <t>https://joyful.saiyo-job.jp/dsaiyo/cct7/pc_job/list/joyfull/kyuo/kumamoto/all</t>
        </is>
      </c>
      <c r="K51" s="8" t="n">
        <v>1034</v>
      </c>
      <c r="L51" s="8">
        <f>IF(G51="","-",IF(G51&lt;K51,"割れ(旧掲載疑い)","OK"))</f>
        <v/>
      </c>
      <c r="M51" s="8">
        <f>IF(AND(D51&lt;&gt;"",E51&lt;&gt;"",F51&lt;&gt;"",G51&lt;&gt;""),"充足","不足")</f>
        <v/>
      </c>
      <c r="N51" s="8">
        <f>IF(I51="近隣求人欄","未確定(近隣欄からの抽出)",IF(I51="ブランド共通","未確定(店舗非固有)",IF(I51="施設一般","未確定(施設一般値)",IF(I51="店舗非特定","未確定(店舗非特定)",IF(I51="情報源矛盾","未確定(情報源の矛盾)",IF(G51="","取得不能",IF(L51="割れ(旧掲載疑い)","未確定(最低賃金割れ)",IF(M51="不足","未確定(証拠不足)","媒体掲載値"))))))))</f>
        <v/>
      </c>
      <c r="O51" s="8" t="inlineStr">
        <is>
          <t>2026-07-31</t>
        </is>
      </c>
      <c r="P51" s="8" t="inlineStr"/>
    </row>
    <row r="52">
      <c r="A52" s="7" t="n">
        <v>47</v>
      </c>
      <c r="B52" s="7" t="inlineStr">
        <is>
          <t>菊陽店</t>
        </is>
      </c>
      <c r="C52" s="7" t="inlineStr">
        <is>
          <t>ファストフード</t>
        </is>
      </c>
      <c r="D52" s="7" t="inlineStr">
        <is>
          <t>マクドナルド 光の森ゆめタウン店</t>
        </is>
      </c>
      <c r="E52" s="7" t="inlineStr">
        <is>
          <t>熊本県菊池郡菊陽町光の森7-33-1</t>
        </is>
      </c>
      <c r="F52" s="7" t="inlineStr">
        <is>
          <t>43542</t>
        </is>
      </c>
      <c r="G52" s="7" t="n">
        <v>1040</v>
      </c>
      <c r="H52" s="7" t="inlineStr">
        <is>
          <t>熊本県内一般として1,040円～、深夜1,250円</t>
        </is>
      </c>
      <c r="I52" s="7" t="inlineStr">
        <is>
          <t>ブランド共通</t>
        </is>
      </c>
      <c r="J52" s="7" t="inlineStr">
        <is>
          <t>https://crewrecruiting.mcdonalds.co.jp/map/43542</t>
        </is>
      </c>
      <c r="K52" s="7" t="n">
        <v>1034</v>
      </c>
      <c r="L52" s="7">
        <f>IF(G52="","-",IF(G52&lt;K52,"割れ(旧掲載疑い)","OK"))</f>
        <v/>
      </c>
      <c r="M52" s="7">
        <f>IF(AND(D52&lt;&gt;"",E52&lt;&gt;"",F52&lt;&gt;"",G52&lt;&gt;""),"充足","不足")</f>
        <v/>
      </c>
      <c r="N52" s="7">
        <f>IF(I52="近隣求人欄","未確定(近隣欄からの抽出)",IF(I52="ブランド共通","未確定(店舗非固有)",IF(I52="施設一般","未確定(施設一般値)",IF(I52="店舗非特定","未確定(店舗非特定)",IF(I52="情報源矛盾","未確定(情報源の矛盾)",IF(G52="","取得不能",IF(L52="割れ(旧掲載疑い)","未確定(最低賃金割れ)",IF(M52="不足","未確定(証拠不足)","媒体掲載値"))))))))</f>
        <v/>
      </c>
      <c r="O52" s="7" t="inlineStr">
        <is>
          <t>2026-07-31</t>
        </is>
      </c>
      <c r="P52" s="7" t="inlineStr">
        <is>
          <t>★県内一般値。店舗固有ではない</t>
        </is>
      </c>
    </row>
    <row r="53">
      <c r="A53" s="7" t="n">
        <v>48</v>
      </c>
      <c r="B53" s="7" t="inlineStr">
        <is>
          <t>菊陽店</t>
        </is>
      </c>
      <c r="C53" s="7" t="inlineStr">
        <is>
          <t>ファストフード</t>
        </is>
      </c>
      <c r="D53" s="7" t="inlineStr">
        <is>
          <t>マクドナルド 熊本大津店</t>
        </is>
      </c>
      <c r="E53" s="7" t="inlineStr">
        <is>
          <t>熊本県菊池郡大津町</t>
        </is>
      </c>
      <c r="F53" s="7" t="inlineStr">
        <is>
          <t>43015</t>
        </is>
      </c>
      <c r="G53" s="7" t="n">
        <v>1000</v>
      </c>
      <c r="H53" s="7" t="inlineStr">
        <is>
          <t>1,000円スタート／年2回昇給</t>
        </is>
      </c>
      <c r="I53" s="7" t="inlineStr">
        <is>
          <t>対象求人本文</t>
        </is>
      </c>
      <c r="J53" s="7" t="inlineStr">
        <is>
          <t>https://crewrecruiting.mcdonalds.co.jp/map/43015</t>
        </is>
      </c>
      <c r="K53" s="7" t="n">
        <v>1034</v>
      </c>
      <c r="L53" s="7">
        <f>IF(G53="","-",IF(G53&lt;K53,"割れ(旧掲載疑い)","OK"))</f>
        <v/>
      </c>
      <c r="M53" s="7">
        <f>IF(AND(D53&lt;&gt;"",E53&lt;&gt;"",F53&lt;&gt;"",G53&lt;&gt;""),"充足","不足")</f>
        <v/>
      </c>
      <c r="N53" s="7">
        <f>IF(I53="近隣求人欄","未確定(近隣欄からの抽出)",IF(I53="ブランド共通","未確定(店舗非固有)",IF(I53="施設一般","未確定(施設一般値)",IF(I53="店舗非特定","未確定(店舗非特定)",IF(I53="情報源矛盾","未確定(情報源の矛盾)",IF(G53="","取得不能",IF(L53="割れ(旧掲載疑い)","未確定(最低賃金割れ)",IF(M53="不足","未確定(証拠不足)","媒体掲載値"))))))))</f>
        <v/>
      </c>
      <c r="O53" s="7" t="inlineStr">
        <is>
          <t>2026-07-31</t>
        </is>
      </c>
      <c r="P53" s="7" t="inlineStr">
        <is>
          <t>★熊本県最低賃金1,034円を下回る=旧掲載</t>
        </is>
      </c>
    </row>
    <row r="54">
      <c r="A54" s="8" t="n">
        <v>49</v>
      </c>
      <c r="B54" s="8" t="inlineStr">
        <is>
          <t>菊陽店</t>
        </is>
      </c>
      <c r="C54" s="8" t="inlineStr">
        <is>
          <t>回転寿司</t>
        </is>
      </c>
      <c r="D54" s="8" t="inlineStr">
        <is>
          <t>無添くら寿司 光の森店</t>
        </is>
      </c>
      <c r="E54" s="8" t="inlineStr">
        <is>
          <t>熊本県菊池郡菊陽町光の森</t>
        </is>
      </c>
      <c r="F54" s="8" t="inlineStr">
        <is>
          <t>無添くら寿司光の森店</t>
        </is>
      </c>
      <c r="G54" s="8" t="n">
        <v>1060</v>
      </c>
      <c r="H54" s="8" t="inlineStr">
        <is>
          <t>1,060～1,400円</t>
        </is>
      </c>
      <c r="I54" s="8" t="inlineStr">
        <is>
          <t>対象求人本文</t>
        </is>
      </c>
      <c r="J54" s="8" t="inlineStr">
        <is>
          <t>https://jp.stanby.com/r_e60bb00089984ece5462d94356bc67de</t>
        </is>
      </c>
      <c r="K54" s="8" t="n">
        <v>1034</v>
      </c>
      <c r="L54" s="8">
        <f>IF(G54="","-",IF(G54&lt;K54,"割れ(旧掲載疑い)","OK"))</f>
        <v/>
      </c>
      <c r="M54" s="8">
        <f>IF(AND(D54&lt;&gt;"",E54&lt;&gt;"",F54&lt;&gt;"",G54&lt;&gt;""),"充足","不足")</f>
        <v/>
      </c>
      <c r="N54" s="8">
        <f>IF(I54="近隣求人欄","未確定(近隣欄からの抽出)",IF(I54="ブランド共通","未確定(店舗非固有)",IF(I54="施設一般","未確定(施設一般値)",IF(I54="店舗非特定","未確定(店舗非特定)",IF(I54="情報源矛盾","未確定(情報源の矛盾)",IF(G54="","取得不能",IF(L54="割れ(旧掲載疑い)","未確定(最低賃金割れ)",IF(M54="不足","未確定(証拠不足)","媒体掲載値"))))))))</f>
        <v/>
      </c>
      <c r="O54" s="8" t="inlineStr">
        <is>
          <t>2026-07-31</t>
        </is>
      </c>
      <c r="P54" s="8" t="inlineStr"/>
    </row>
    <row r="55">
      <c r="A55" s="8" t="n">
        <v>50</v>
      </c>
      <c r="B55" s="8" t="inlineStr">
        <is>
          <t>菊陽店</t>
        </is>
      </c>
      <c r="C55" s="8" t="inlineStr">
        <is>
          <t>回転寿司</t>
        </is>
      </c>
      <c r="D55" s="8" t="inlineStr">
        <is>
          <t>スシロー 光の森店</t>
        </is>
      </c>
      <c r="E55" s="8" t="inlineStr">
        <is>
          <t>熊本県菊池郡菊陽町光の森</t>
        </is>
      </c>
      <c r="F55" s="8" t="inlineStr">
        <is>
          <t>job/All/11709</t>
        </is>
      </c>
      <c r="G55" s="8" t="n"/>
      <c r="H55" s="8" t="inlineStr">
        <is>
          <t>店舗固有の金額を取得できず(県内一般1,050円のみ)</t>
        </is>
      </c>
      <c r="I55" s="8" t="inlineStr">
        <is>
          <t>未取得</t>
        </is>
      </c>
      <c r="J55" s="8" t="inlineStr">
        <is>
          <t>https://akindo-sushiro-job.net/jobfind-pc/job/All/11709</t>
        </is>
      </c>
      <c r="K55" s="8" t="n">
        <v>1034</v>
      </c>
      <c r="L55" s="8">
        <f>IF(G55="","-",IF(G55&lt;K55,"割れ(旧掲載疑い)","OK"))</f>
        <v/>
      </c>
      <c r="M55" s="8">
        <f>IF(AND(D55&lt;&gt;"",E55&lt;&gt;"",F55&lt;&gt;"",G55&lt;&gt;""),"充足","不足")</f>
        <v/>
      </c>
      <c r="N55" s="8">
        <f>IF(I55="近隣求人欄","未確定(近隣欄からの抽出)",IF(I55="ブランド共通","未確定(店舗非固有)",IF(I55="施設一般","未確定(施設一般値)",IF(I55="店舗非特定","未確定(店舗非特定)",IF(I55="情報源矛盾","未確定(情報源の矛盾)",IF(G55="","取得不能",IF(L55="割れ(旧掲載疑い)","未確定(最低賃金割れ)",IF(M55="不足","未確定(証拠不足)","媒体掲載値"))))))))</f>
        <v/>
      </c>
      <c r="O55" s="8" t="inlineStr">
        <is>
          <t>2026-07-31</t>
        </is>
      </c>
      <c r="P55" s="8" t="inlineStr"/>
    </row>
    <row r="56">
      <c r="A56" s="7" t="n">
        <v>51</v>
      </c>
      <c r="B56" s="7" t="inlineStr">
        <is>
          <t>菊陽店</t>
        </is>
      </c>
      <c r="C56" s="7" t="inlineStr">
        <is>
          <t>商業施設</t>
        </is>
      </c>
      <c r="D56" s="7" t="inlineStr">
        <is>
          <t>ゆめタウン光の森(飲食テナント)</t>
        </is>
      </c>
      <c r="E56" s="7" t="inlineStr">
        <is>
          <t>熊本県菊池郡菊陽町光の森</t>
        </is>
      </c>
      <c r="F56" s="7" t="inlineStr"/>
      <c r="G56" s="7" t="n">
        <v>1100</v>
      </c>
      <c r="H56" s="7" t="inlineStr">
        <is>
          <t>施設全体で 洋食1,100円～(研修1,035円)／和食1,200円(研修1,100円)／ラーメン1,050円～／中華1,100円～</t>
        </is>
      </c>
      <c r="I56" s="7" t="inlineStr">
        <is>
          <t>施設一般</t>
        </is>
      </c>
      <c r="J56" s="7" t="inlineStr">
        <is>
          <t>https://www.izumi.jp/tenpo/hikarinomori/recruit/food</t>
        </is>
      </c>
      <c r="K56" s="7" t="n">
        <v>1034</v>
      </c>
      <c r="L56" s="7">
        <f>IF(G56="","-",IF(G56&lt;K56,"割れ(旧掲載疑い)","OK"))</f>
        <v/>
      </c>
      <c r="M56" s="7">
        <f>IF(AND(D56&lt;&gt;"",E56&lt;&gt;"",F56&lt;&gt;"",G56&lt;&gt;""),"充足","不足")</f>
        <v/>
      </c>
      <c r="N56" s="7">
        <f>IF(I56="近隣求人欄","未確定(近隣欄からの抽出)",IF(I56="ブランド共通","未確定(店舗非固有)",IF(I56="施設一般","未確定(施設一般値)",IF(I56="店舗非特定","未確定(店舗非特定)",IF(I56="情報源矛盾","未確定(情報源の矛盾)",IF(G56="","取得不能",IF(L56="割れ(旧掲載疑い)","未確定(最低賃金割れ)",IF(M56="不足","未確定(証拠不足)","媒体掲載値"))))))))</f>
        <v/>
      </c>
      <c r="O56" s="7" t="inlineStr">
        <is>
          <t>2026-07-31</t>
        </is>
      </c>
      <c r="P56" s="7" t="inlineStr">
        <is>
          <t>★施設全体の一般値であり特定テナントの時給ではない</t>
        </is>
      </c>
    </row>
    <row r="57">
      <c r="A57" s="8" t="n">
        <v>52</v>
      </c>
      <c r="B57" s="8" t="inlineStr">
        <is>
          <t>菊陽店</t>
        </is>
      </c>
      <c r="C57" s="8" t="inlineStr">
        <is>
          <t>ちゃんぽん・麺</t>
        </is>
      </c>
      <c r="D57" s="8" t="inlineStr">
        <is>
          <t>とりのすけ 光の森店</t>
        </is>
      </c>
      <c r="E57" s="8" t="inlineStr">
        <is>
          <t>熊本県菊池郡菊陽町光の森</t>
        </is>
      </c>
      <c r="F57" s="8" t="inlineStr"/>
      <c r="G57" s="8" t="n"/>
      <c r="H57" s="8" t="inlineStr">
        <is>
          <t>時給の記載を取得できず</t>
        </is>
      </c>
      <c r="I57" s="8" t="inlineStr">
        <is>
          <t>未取得</t>
        </is>
      </c>
      <c r="J57" s="8" t="inlineStr">
        <is>
          <t>https://www.baitoru.com/kyushu/jlist/9922hikarinomorieki/</t>
        </is>
      </c>
      <c r="K57" s="8" t="n">
        <v>1034</v>
      </c>
      <c r="L57" s="8">
        <f>IF(G57="","-",IF(G57&lt;K57,"割れ(旧掲載疑い)","OK"))</f>
        <v/>
      </c>
      <c r="M57" s="8">
        <f>IF(AND(D57&lt;&gt;"",E57&lt;&gt;"",F57&lt;&gt;"",G57&lt;&gt;""),"充足","不足")</f>
        <v/>
      </c>
      <c r="N57" s="8">
        <f>IF(I57="近隣求人欄","未確定(近隣欄からの抽出)",IF(I57="ブランド共通","未確定(店舗非固有)",IF(I57="施設一般","未確定(施設一般値)",IF(I57="店舗非特定","未確定(店舗非特定)",IF(I57="情報源矛盾","未確定(情報源の矛盾)",IF(G57="","取得不能",IF(L57="割れ(旧掲載疑い)","未確定(最低賃金割れ)",IF(M57="不足","未確定(証拠不足)","媒体掲載値"))))))))</f>
        <v/>
      </c>
      <c r="O57" s="8" t="inlineStr">
        <is>
          <t>2026-07-31</t>
        </is>
      </c>
      <c r="P57" s="8" t="inlineStr"/>
    </row>
    <row r="58">
      <c r="A58" s="7" t="n">
        <v>53</v>
      </c>
      <c r="B58" s="7" t="inlineStr">
        <is>
          <t>菊陽店</t>
        </is>
      </c>
      <c r="C58" s="7" t="inlineStr">
        <is>
          <t>牛丼・定食</t>
        </is>
      </c>
      <c r="D58" s="7" t="inlineStr">
        <is>
          <t>すき家 57号大津店</t>
        </is>
      </c>
      <c r="E58" s="7" t="inlineStr">
        <is>
          <t>熊本県菊池郡大津町(肥後大津駅徒歩9分)</t>
        </is>
      </c>
      <c r="F58" s="7" t="inlineStr">
        <is>
          <t>57号大津店</t>
        </is>
      </c>
      <c r="G58" s="7" t="n">
        <v>1200</v>
      </c>
      <c r="H58" s="7" t="inlineStr">
        <is>
          <t>媒体A(タウンワーク): 1,200～1,500円　媒体B(バイトル): 950～1,188円</t>
        </is>
      </c>
      <c r="I58" s="7" t="inlineStr">
        <is>
          <t>情報源矛盾</t>
        </is>
      </c>
      <c r="J58" s="7" t="inlineStr">
        <is>
          <t>https://townwork.net/job_search/kw/%E7%86%8A%E6%9C%AC%E7%9C%8C+%E8%8F%8A%E6%B1%A0%E9%83%A1+%E5%A4%A7%E6%B4%A5%E7%94%BA/</t>
        </is>
      </c>
      <c r="K58" s="7" t="n">
        <v>1034</v>
      </c>
      <c r="L58" s="7">
        <f>IF(G58="","-",IF(G58&lt;K58,"割れ(旧掲載疑い)","OK"))</f>
        <v/>
      </c>
      <c r="M58" s="7">
        <f>IF(AND(D58&lt;&gt;"",E58&lt;&gt;"",F58&lt;&gt;"",G58&lt;&gt;""),"充足","不足")</f>
        <v/>
      </c>
      <c r="N58" s="7">
        <f>IF(I58="近隣求人欄","未確定(近隣欄からの抽出)",IF(I58="ブランド共通","未確定(店舗非固有)",IF(I58="施設一般","未確定(施設一般値)",IF(I58="店舗非特定","未確定(店舗非特定)",IF(I58="情報源矛盾","未確定(情報源の矛盾)",IF(G58="","取得不能",IF(L58="割れ(旧掲載疑い)","未確定(最低賃金割れ)",IF(M58="不足","未確定(証拠不足)","媒体掲載値"))))))))</f>
        <v/>
      </c>
      <c r="O58" s="7" t="inlineStr">
        <is>
          <t>2026-07-31</t>
        </is>
      </c>
      <c r="P58" s="7" t="inlineStr">
        <is>
          <t>★同一店舗に1,200円系と950円系。差が大きく、どちらかを自動で選ばない</t>
        </is>
      </c>
    </row>
    <row r="59">
      <c r="A59" s="8" t="n">
        <v>54</v>
      </c>
      <c r="B59" s="8" t="inlineStr">
        <is>
          <t>菊陽店</t>
        </is>
      </c>
      <c r="C59" s="8" t="inlineStr">
        <is>
          <t>小売(参考)</t>
        </is>
      </c>
      <c r="D59" s="8" t="inlineStr">
        <is>
          <t>ダイソー 光の森店</t>
        </is>
      </c>
      <c r="E59" s="8" t="inlineStr">
        <is>
          <t>熊本県菊池郡菊陽町光の森</t>
        </is>
      </c>
      <c r="F59" s="8" t="inlineStr"/>
      <c r="G59" s="8" t="n">
        <v>1050</v>
      </c>
      <c r="H59" s="8" t="inlineStr">
        <is>
          <t>1,050～1,080円(接客販売)</t>
        </is>
      </c>
      <c r="I59" s="8" t="inlineStr">
        <is>
          <t>対象求人本文</t>
        </is>
      </c>
      <c r="J59" s="8" t="inlineStr">
        <is>
          <t>https://jp.indeed.com/l-%E7%86%8A%E6%9C%AC%E7%9C%8C-%E8%8F%8A%E6%B1%A0%E9%83%A1-%E8%8F%8A%E9%99%BD%E7%94%BA-%E5%85%89%E3%81%AE%E6%A3%AE-%E6%B1%82%E4%BA%BA.html</t>
        </is>
      </c>
      <c r="K59" s="8" t="n">
        <v>1034</v>
      </c>
      <c r="L59" s="8">
        <f>IF(G59="","-",IF(G59&lt;K59,"割れ(旧掲載疑い)","OK"))</f>
        <v/>
      </c>
      <c r="M59" s="8">
        <f>IF(AND(D59&lt;&gt;"",E59&lt;&gt;"",F59&lt;&gt;"",G59&lt;&gt;""),"充足","不足")</f>
        <v/>
      </c>
      <c r="N59" s="8">
        <f>IF(I59="近隣求人欄","未確定(近隣欄からの抽出)",IF(I59="ブランド共通","未確定(店舗非固有)",IF(I59="施設一般","未確定(施設一般値)",IF(I59="店舗非特定","未確定(店舗非特定)",IF(I59="情報源矛盾","未確定(情報源の矛盾)",IF(G59="","取得不能",IF(L59="割れ(旧掲載疑い)","未確定(最低賃金割れ)",IF(M59="不足","未確定(証拠不足)","媒体掲載値"))))))))</f>
        <v/>
      </c>
      <c r="O59" s="8" t="inlineStr">
        <is>
          <t>2026-07-31</t>
        </is>
      </c>
      <c r="P59" s="8" t="inlineStr">
        <is>
          <t>飲食以外。人材が競合する小売の参考値</t>
        </is>
      </c>
    </row>
    <row r="60">
      <c r="A60" s="7" t="n">
        <v>55</v>
      </c>
      <c r="B60" s="7" t="inlineStr">
        <is>
          <t>鳥栖真木店</t>
        </is>
      </c>
      <c r="C60" s="7" t="inlineStr">
        <is>
          <t>うどん・そば</t>
        </is>
      </c>
      <c r="D60" s="7" t="inlineStr">
        <is>
          <t>丸亀製麺 鳥栖店</t>
        </is>
      </c>
      <c r="E60" s="7" t="inlineStr">
        <is>
          <t>佐賀県鳥栖市</t>
        </is>
      </c>
      <c r="F60" s="7" t="inlineStr">
        <is>
          <t>A10701916420</t>
        </is>
      </c>
      <c r="G60" s="7" t="n">
        <v>980</v>
      </c>
      <c r="H60" s="7" t="inlineStr">
        <is>
          <t>開店準備・仕込みスタッフ 980円～(高校生同額)</t>
        </is>
      </c>
      <c r="I60" s="7" t="inlineStr">
        <is>
          <t>対象求人本文</t>
        </is>
      </c>
      <c r="J60" s="7" t="inlineStr">
        <is>
          <t>https://toridoll-job.com/toridoll02/A10701916420/MDkyujin_d.htm</t>
        </is>
      </c>
      <c r="K60" s="7" t="n">
        <v>1030</v>
      </c>
      <c r="L60" s="7">
        <f>IF(G60="","-",IF(G60&lt;K60,"割れ(旧掲載疑い)","OK"))</f>
        <v/>
      </c>
      <c r="M60" s="7">
        <f>IF(AND(D60&lt;&gt;"",E60&lt;&gt;"",F60&lt;&gt;"",G60&lt;&gt;""),"充足","不足")</f>
        <v/>
      </c>
      <c r="N60" s="7">
        <f>IF(I60="近隣求人欄","未確定(近隣欄からの抽出)",IF(I60="ブランド共通","未確定(店舗非固有)",IF(I60="施設一般","未確定(施設一般値)",IF(I60="店舗非特定","未確定(店舗非特定)",IF(I60="情報源矛盾","未確定(情報源の矛盾)",IF(G60="","取得不能",IF(L60="割れ(旧掲載疑い)","未確定(最低賃金割れ)",IF(M60="不足","未確定(証拠不足)","媒体掲載値"))))))))</f>
        <v/>
      </c>
      <c r="O60" s="7" t="inlineStr">
        <is>
          <t>2026-07-31</t>
        </is>
      </c>
      <c r="P60" s="7" t="inlineStr">
        <is>
          <t>★佐賀県最低賃金1,030円を下回る=旧掲載。かつ職種限定</t>
        </is>
      </c>
    </row>
    <row r="61">
      <c r="A61" s="8" t="n">
        <v>56</v>
      </c>
      <c r="B61" s="8" t="inlineStr">
        <is>
          <t>鳥栖真木店</t>
        </is>
      </c>
      <c r="C61" s="8" t="inlineStr">
        <is>
          <t>うどん・そば</t>
        </is>
      </c>
      <c r="D61" s="8" t="inlineStr">
        <is>
          <t>うどんウエスト(鳥栖)</t>
        </is>
      </c>
      <c r="E61" s="8" t="inlineStr"/>
      <c r="F61" s="8" t="inlineStr"/>
      <c r="G61" s="8" t="n"/>
      <c r="H61" s="8" t="inlineStr">
        <is>
          <t>鳥栖にうどん業態の掲載を確認できず(焼肉鳥栖店のみ)</t>
        </is>
      </c>
      <c r="I61" s="8" t="inlineStr">
        <is>
          <t>未取得</t>
        </is>
      </c>
      <c r="J61" s="8" t="inlineStr">
        <is>
          <t>https://west-saiyou.net/jobfind-pc/area/KyushuOkinawa/Saga</t>
        </is>
      </c>
      <c r="K61" s="8" t="n">
        <v>1030</v>
      </c>
      <c r="L61" s="8">
        <f>IF(G61="","-",IF(G61&lt;K61,"割れ(旧掲載疑い)","OK"))</f>
        <v/>
      </c>
      <c r="M61" s="8">
        <f>IF(AND(D61&lt;&gt;"",E61&lt;&gt;"",F61&lt;&gt;"",G61&lt;&gt;""),"充足","不足")</f>
        <v/>
      </c>
      <c r="N61" s="8">
        <f>IF(I61="近隣求人欄","未確定(近隣欄からの抽出)",IF(I61="ブランド共通","未確定(店舗非固有)",IF(I61="施設一般","未確定(施設一般値)",IF(I61="店舗非特定","未確定(店舗非特定)",IF(I61="情報源矛盾","未確定(情報源の矛盾)",IF(G61="","取得不能",IF(L61="割れ(旧掲載疑い)","未確定(最低賃金割れ)",IF(M61="不足","未確定(証拠不足)","媒体掲載値"))))))))</f>
        <v/>
      </c>
      <c r="O61" s="8" t="inlineStr">
        <is>
          <t>2026-07-31</t>
        </is>
      </c>
      <c r="P61" s="8" t="inlineStr"/>
    </row>
    <row r="62">
      <c r="A62" s="8" t="n">
        <v>57</v>
      </c>
      <c r="B62" s="8" t="inlineStr">
        <is>
          <t>鳥栖真木店</t>
        </is>
      </c>
      <c r="C62" s="8" t="inlineStr">
        <is>
          <t>焼肉</t>
        </is>
      </c>
      <c r="D62" s="8" t="inlineStr">
        <is>
          <t>ウエスト 焼肉 鳥栖店</t>
        </is>
      </c>
      <c r="E62" s="8" t="inlineStr">
        <is>
          <t>佐賀県鳥栖市</t>
        </is>
      </c>
      <c r="F62" s="8" t="inlineStr">
        <is>
          <t>043-06 / job-109509242</t>
        </is>
      </c>
      <c r="G62" s="8" t="n">
        <v>1150</v>
      </c>
      <c r="H62" s="8" t="inlineStr">
        <is>
          <t>一般1,150円／高校生1,100円／土日祝+50円／22時以降1.25倍</t>
        </is>
      </c>
      <c r="I62" s="8" t="inlineStr">
        <is>
          <t>対象求人本文</t>
        </is>
      </c>
      <c r="J62" s="8" t="inlineStr">
        <is>
          <t>https://baito.mynavi.jp/cl-002555807358/job-109509242/</t>
        </is>
      </c>
      <c r="K62" s="8" t="n">
        <v>1030</v>
      </c>
      <c r="L62" s="8">
        <f>IF(G62="","-",IF(G62&lt;K62,"割れ(旧掲載疑い)","OK"))</f>
        <v/>
      </c>
      <c r="M62" s="8">
        <f>IF(AND(D62&lt;&gt;"",E62&lt;&gt;"",F62&lt;&gt;"",G62&lt;&gt;""),"充足","不足")</f>
        <v/>
      </c>
      <c r="N62" s="8">
        <f>IF(I62="近隣求人欄","未確定(近隣欄からの抽出)",IF(I62="ブランド共通","未確定(店舗非固有)",IF(I62="施設一般","未確定(施設一般値)",IF(I62="店舗非特定","未確定(店舗非特定)",IF(I62="情報源矛盾","未確定(情報源の矛盾)",IF(G62="","取得不能",IF(L62="割れ(旧掲載疑い)","未確定(最低賃金割れ)",IF(M62="不足","未確定(証拠不足)","媒体掲載値"))))))))</f>
        <v/>
      </c>
      <c r="O62" s="8" t="inlineStr">
        <is>
          <t>2026-07-31</t>
        </is>
      </c>
      <c r="P62" s="8" t="inlineStr"/>
    </row>
    <row r="63">
      <c r="A63" s="7" t="n">
        <v>58</v>
      </c>
      <c r="B63" s="7" t="inlineStr">
        <is>
          <t>鳥栖真木店</t>
        </is>
      </c>
      <c r="C63" s="7" t="inlineStr">
        <is>
          <t>牛丼・定食</t>
        </is>
      </c>
      <c r="D63" s="7" t="inlineStr">
        <is>
          <t>すき家(鳥栖市)</t>
        </is>
      </c>
      <c r="E63" s="7" t="inlineStr"/>
      <c r="F63" s="7" t="inlineStr"/>
      <c r="G63" s="7" t="n">
        <v>1080</v>
      </c>
      <c r="H63" s="7" t="inlineStr">
        <is>
          <t>1,080～1,350円／早朝(5-9時)+150円</t>
        </is>
      </c>
      <c r="I63" s="7" t="inlineStr">
        <is>
          <t>店舗非特定</t>
        </is>
      </c>
      <c r="J63" s="7" t="inlineStr">
        <is>
          <t>https://jobs.sukiya.jp/shops?p=41&amp;s=%E9%B3%A5%E6%A0%96%E5%B8%82&amp;t=area</t>
        </is>
      </c>
      <c r="K63" s="7" t="n">
        <v>1030</v>
      </c>
      <c r="L63" s="7">
        <f>IF(G63="","-",IF(G63&lt;K63,"割れ(旧掲載疑い)","OK"))</f>
        <v/>
      </c>
      <c r="M63" s="7">
        <f>IF(AND(D63&lt;&gt;"",E63&lt;&gt;"",F63&lt;&gt;"",G63&lt;&gt;""),"充足","不足")</f>
        <v/>
      </c>
      <c r="N63" s="7">
        <f>IF(I63="近隣求人欄","未確定(近隣欄からの抽出)",IF(I63="ブランド共通","未確定(店舗非固有)",IF(I63="施設一般","未確定(施設一般値)",IF(I63="店舗非特定","未確定(店舗非特定)",IF(I63="情報源矛盾","未確定(情報源の矛盾)",IF(G63="","取得不能",IF(L63="割れ(旧掲載疑い)","未確定(最低賃金割れ)",IF(M63="不足","未確定(証拠不足)","媒体掲載値"))))))))</f>
        <v/>
      </c>
      <c r="O63" s="7" t="inlineStr">
        <is>
          <t>2026-07-31</t>
        </is>
      </c>
      <c r="P63" s="7" t="inlineStr">
        <is>
          <t>★市内複数店が混在</t>
        </is>
      </c>
    </row>
    <row r="64">
      <c r="A64" s="8" t="n">
        <v>59</v>
      </c>
      <c r="B64" s="8" t="inlineStr">
        <is>
          <t>鳥栖真木店</t>
        </is>
      </c>
      <c r="C64" s="8" t="inlineStr">
        <is>
          <t>ファミレス</t>
        </is>
      </c>
      <c r="D64" s="8" t="inlineStr">
        <is>
          <t>ジョイフル 鳥栖中央店</t>
        </is>
      </c>
      <c r="E64" s="8" t="inlineStr">
        <is>
          <t>佐賀県鳥栖市</t>
        </is>
      </c>
      <c r="F64" s="8" t="inlineStr">
        <is>
          <t>job156010261</t>
        </is>
      </c>
      <c r="G64" s="8" t="n">
        <v>1200</v>
      </c>
      <c r="H64" s="8" t="inlineStr">
        <is>
          <t>求人表示 1,200～1,450円</t>
        </is>
      </c>
      <c r="I64" s="8" t="inlineStr">
        <is>
          <t>対象求人本文</t>
        </is>
      </c>
      <c r="J64" s="8" t="inlineStr">
        <is>
          <t>https://www.baitoru.com/kyushu/jlist/saga/tosushi/job156010261/</t>
        </is>
      </c>
      <c r="K64" s="8" t="n">
        <v>1030</v>
      </c>
      <c r="L64" s="8">
        <f>IF(G64="","-",IF(G64&lt;K64,"割れ(旧掲載疑い)","OK"))</f>
        <v/>
      </c>
      <c r="M64" s="8">
        <f>IF(AND(D64&lt;&gt;"",E64&lt;&gt;"",F64&lt;&gt;"",G64&lt;&gt;""),"充足","不足")</f>
        <v/>
      </c>
      <c r="N64" s="8">
        <f>IF(I64="近隣求人欄","未確定(近隣欄からの抽出)",IF(I64="ブランド共通","未確定(店舗非固有)",IF(I64="施設一般","未確定(施設一般値)",IF(I64="店舗非特定","未確定(店舗非特定)",IF(I64="情報源矛盾","未確定(情報源の矛盾)",IF(G64="","取得不能",IF(L64="割れ(旧掲載疑い)","未確定(最低賃金割れ)",IF(M64="不足","未確定(証拠不足)","媒体掲載値"))))))))</f>
        <v/>
      </c>
      <c r="O64" s="8" t="inlineStr">
        <is>
          <t>2026-07-31</t>
        </is>
      </c>
      <c r="P64" s="8" t="inlineStr"/>
    </row>
    <row r="65">
      <c r="A65" s="7" t="n">
        <v>60</v>
      </c>
      <c r="B65" s="7" t="inlineStr">
        <is>
          <t>鳥栖真木店</t>
        </is>
      </c>
      <c r="C65" s="7" t="inlineStr">
        <is>
          <t>ファストフード</t>
        </is>
      </c>
      <c r="D65" s="7" t="inlineStr">
        <is>
          <t>マクドナルド 鳥栖フレスポ店</t>
        </is>
      </c>
      <c r="E65" s="7" t="inlineStr">
        <is>
          <t>佐賀県鳥栖市(鳥栖駅)</t>
        </is>
      </c>
      <c r="F65" s="7" t="inlineStr">
        <is>
          <t>job156943508</t>
        </is>
      </c>
      <c r="G65" s="7" t="n">
        <v>1020</v>
      </c>
      <c r="H65" s="7" t="inlineStr">
        <is>
          <t>1,020円～／勤務10:00-21:30</t>
        </is>
      </c>
      <c r="I65" s="7" t="inlineStr">
        <is>
          <t>対象求人本文</t>
        </is>
      </c>
      <c r="J65" s="7" t="inlineStr">
        <is>
          <t>https://www.baitoru.com/kyushu/jlist/saga/tosushi/job156943508/</t>
        </is>
      </c>
      <c r="K65" s="7" t="n">
        <v>1030</v>
      </c>
      <c r="L65" s="7">
        <f>IF(G65="","-",IF(G65&lt;K65,"割れ(旧掲載疑い)","OK"))</f>
        <v/>
      </c>
      <c r="M65" s="7">
        <f>IF(AND(D65&lt;&gt;"",E65&lt;&gt;"",F65&lt;&gt;"",G65&lt;&gt;""),"充足","不足")</f>
        <v/>
      </c>
      <c r="N65" s="7">
        <f>IF(I65="近隣求人欄","未確定(近隣欄からの抽出)",IF(I65="ブランド共通","未確定(店舗非固有)",IF(I65="施設一般","未確定(施設一般値)",IF(I65="店舗非特定","未確定(店舗非特定)",IF(I65="情報源矛盾","未確定(情報源の矛盾)",IF(G65="","取得不能",IF(L65="割れ(旧掲載疑い)","未確定(最低賃金割れ)",IF(M65="不足","未確定(証拠不足)","媒体掲載値"))))))))</f>
        <v/>
      </c>
      <c r="O65" s="7" t="inlineStr">
        <is>
          <t>2026-07-31</t>
        </is>
      </c>
      <c r="P65" s="7" t="inlineStr">
        <is>
          <t>★佐賀県最低賃金1,030円を下回る=旧掲載</t>
        </is>
      </c>
    </row>
    <row r="66">
      <c r="A66" s="7" t="n">
        <v>61</v>
      </c>
      <c r="B66" s="7" t="inlineStr">
        <is>
          <t>鳥栖真木店</t>
        </is>
      </c>
      <c r="C66" s="7" t="inlineStr">
        <is>
          <t>ファストフード</t>
        </is>
      </c>
      <c r="D66" s="7" t="inlineStr">
        <is>
          <t>ケンタッキー 鳥栖店</t>
        </is>
      </c>
      <c r="E66" s="7" t="inlineStr">
        <is>
          <t>佐賀県鳥栖市</t>
        </is>
      </c>
      <c r="F66" s="7" t="inlineStr">
        <is>
          <t>AE0218615939</t>
        </is>
      </c>
      <c r="G66" s="7" t="n">
        <v>1000</v>
      </c>
      <c r="H66" s="7" t="inlineStr">
        <is>
          <t>媒体A: 1,000円以上　媒体B: 1,050円</t>
        </is>
      </c>
      <c r="I66" s="7" t="inlineStr">
        <is>
          <t>情報源矛盾</t>
        </is>
      </c>
      <c r="J66" s="7" t="inlineStr">
        <is>
          <t>https://www.e-aidem.com/aps/07_AE0218615939_detail.htm</t>
        </is>
      </c>
      <c r="K66" s="7" t="n">
        <v>1030</v>
      </c>
      <c r="L66" s="7">
        <f>IF(G66="","-",IF(G66&lt;K66,"割れ(旧掲載疑い)","OK"))</f>
        <v/>
      </c>
      <c r="M66" s="7">
        <f>IF(AND(D66&lt;&gt;"",E66&lt;&gt;"",F66&lt;&gt;"",G66&lt;&gt;""),"充足","不足")</f>
        <v/>
      </c>
      <c r="N66" s="7">
        <f>IF(I66="近隣求人欄","未確定(近隣欄からの抽出)",IF(I66="ブランド共通","未確定(店舗非固有)",IF(I66="施設一般","未確定(施設一般値)",IF(I66="店舗非特定","未確定(店舗非特定)",IF(I66="情報源矛盾","未確定(情報源の矛盾)",IF(G66="","取得不能",IF(L66="割れ(旧掲載疑い)","未確定(最低賃金割れ)",IF(M66="不足","未確定(証拠不足)","媒体掲載値"))))))))</f>
        <v/>
      </c>
      <c r="O66" s="7" t="inlineStr">
        <is>
          <t>2026-07-31</t>
        </is>
      </c>
      <c r="P66" s="7" t="inlineStr">
        <is>
          <t>★同一店舗に2つの金額。かつ1,000円は最賃割れ</t>
        </is>
      </c>
    </row>
    <row r="67">
      <c r="A67" s="8" t="n">
        <v>62</v>
      </c>
      <c r="B67" s="8" t="inlineStr">
        <is>
          <t>鳥栖真木店</t>
        </is>
      </c>
      <c r="C67" s="8" t="inlineStr">
        <is>
          <t>回転寿司</t>
        </is>
      </c>
      <c r="D67" s="8" t="inlineStr">
        <is>
          <t>スシロー 鳥栖古賀店</t>
        </is>
      </c>
      <c r="E67" s="8" t="inlineStr">
        <is>
          <t>佐賀県鳥栖市古賀</t>
        </is>
      </c>
      <c r="F67" s="8" t="inlineStr">
        <is>
          <t>job155787420</t>
        </is>
      </c>
      <c r="G67" s="8" t="n">
        <v>1050</v>
      </c>
      <c r="H67" s="8" t="inlineStr">
        <is>
          <t>1,050～1,313円／土日祝UP／22時以降1,313円／高校生1,030円</t>
        </is>
      </c>
      <c r="I67" s="8" t="inlineStr">
        <is>
          <t>対象求人本文</t>
        </is>
      </c>
      <c r="J67" s="8" t="inlineStr">
        <is>
          <t>https://www.baitoru.com/kyushu/jlist/saga/tosushi/job155787420/</t>
        </is>
      </c>
      <c r="K67" s="8" t="n">
        <v>1030</v>
      </c>
      <c r="L67" s="8">
        <f>IF(G67="","-",IF(G67&lt;K67,"割れ(旧掲載疑い)","OK"))</f>
        <v/>
      </c>
      <c r="M67" s="8">
        <f>IF(AND(D67&lt;&gt;"",E67&lt;&gt;"",F67&lt;&gt;"",G67&lt;&gt;""),"充足","不足")</f>
        <v/>
      </c>
      <c r="N67" s="8">
        <f>IF(I67="近隣求人欄","未確定(近隣欄からの抽出)",IF(I67="ブランド共通","未確定(店舗非固有)",IF(I67="施設一般","未確定(施設一般値)",IF(I67="店舗非特定","未確定(店舗非特定)",IF(I67="情報源矛盾","未確定(情報源の矛盾)",IF(G67="","取得不能",IF(L67="割れ(旧掲載疑い)","未確定(最低賃金割れ)",IF(M67="不足","未確定(証拠不足)","媒体掲載値"))))))))</f>
        <v/>
      </c>
      <c r="O67" s="8" t="inlineStr">
        <is>
          <t>2026-07-31</t>
        </is>
      </c>
      <c r="P67" s="8" t="inlineStr"/>
    </row>
    <row r="68">
      <c r="A68" s="7" t="n">
        <v>63</v>
      </c>
      <c r="B68" s="7" t="inlineStr">
        <is>
          <t>鳥栖真木店</t>
        </is>
      </c>
      <c r="C68" s="7" t="inlineStr">
        <is>
          <t>回転寿司</t>
        </is>
      </c>
      <c r="D68" s="7" t="inlineStr">
        <is>
          <t>無添くら寿司 フレスポ鳥栖店</t>
        </is>
      </c>
      <c r="E68" s="7" t="inlineStr">
        <is>
          <t>佐賀県鳥栖市(フレスポ鳥栖)</t>
        </is>
      </c>
      <c r="F68" s="7" t="inlineStr">
        <is>
          <t>フレスポ鳥栖店</t>
        </is>
      </c>
      <c r="G68" s="7" t="n">
        <v>950</v>
      </c>
      <c r="H68" s="7" t="inlineStr">
        <is>
          <t>950～1,000円(時間帯による)／別掲載で956～1,050円</t>
        </is>
      </c>
      <c r="I68" s="7" t="inlineStr">
        <is>
          <t>対象求人本文</t>
        </is>
      </c>
      <c r="J68" s="7" t="inlineStr">
        <is>
          <t>https://jp.stanby.com/r_94d42f6954c37acd172684e85b5d5214</t>
        </is>
      </c>
      <c r="K68" s="7" t="n">
        <v>1030</v>
      </c>
      <c r="L68" s="7">
        <f>IF(G68="","-",IF(G68&lt;K68,"割れ(旧掲載疑い)","OK"))</f>
        <v/>
      </c>
      <c r="M68" s="7">
        <f>IF(AND(D68&lt;&gt;"",E68&lt;&gt;"",F68&lt;&gt;"",G68&lt;&gt;""),"充足","不足")</f>
        <v/>
      </c>
      <c r="N68" s="7">
        <f>IF(I68="近隣求人欄","未確定(近隣欄からの抽出)",IF(I68="ブランド共通","未確定(店舗非固有)",IF(I68="施設一般","未確定(施設一般値)",IF(I68="店舗非特定","未確定(店舗非特定)",IF(I68="情報源矛盾","未確定(情報源の矛盾)",IF(G68="","取得不能",IF(L68="割れ(旧掲載疑い)","未確定(最低賃金割れ)",IF(M68="不足","未確定(証拠不足)","媒体掲載値"))))))))</f>
        <v/>
      </c>
      <c r="O68" s="7" t="inlineStr">
        <is>
          <t>2026-07-31</t>
        </is>
      </c>
      <c r="P68" s="7" t="inlineStr">
        <is>
          <t>★佐賀県最低賃金1,030円を下回る=旧掲載</t>
        </is>
      </c>
    </row>
    <row r="69">
      <c r="A69" s="8" t="n">
        <v>64</v>
      </c>
      <c r="B69" s="8" t="inlineStr">
        <is>
          <t>鳥栖真木店</t>
        </is>
      </c>
      <c r="C69" s="8" t="inlineStr">
        <is>
          <t>回転寿司</t>
        </is>
      </c>
      <c r="D69" s="8" t="inlineStr">
        <is>
          <t>はま寿司(鳥栖市)</t>
        </is>
      </c>
      <c r="E69" s="8" t="inlineStr"/>
      <c r="F69" s="8" t="inlineStr"/>
      <c r="G69" s="8" t="n"/>
      <c r="H69" s="8" t="inlineStr">
        <is>
          <t>店舗別の掲載を取得できず</t>
        </is>
      </c>
      <c r="I69" s="8" t="inlineStr">
        <is>
          <t>未取得</t>
        </is>
      </c>
      <c r="J69" s="8" t="inlineStr">
        <is>
          <t>https://work.hama-sushi.co.jp/</t>
        </is>
      </c>
      <c r="K69" s="8" t="n">
        <v>1030</v>
      </c>
      <c r="L69" s="8">
        <f>IF(G69="","-",IF(G69&lt;K69,"割れ(旧掲載疑い)","OK"))</f>
        <v/>
      </c>
      <c r="M69" s="8">
        <f>IF(AND(D69&lt;&gt;"",E69&lt;&gt;"",F69&lt;&gt;"",G69&lt;&gt;""),"充足","不足")</f>
        <v/>
      </c>
      <c r="N69" s="8">
        <f>IF(I69="近隣求人欄","未確定(近隣欄からの抽出)",IF(I69="ブランド共通","未確定(店舗非固有)",IF(I69="施設一般","未確定(施設一般値)",IF(I69="店舗非特定","未確定(店舗非特定)",IF(I69="情報源矛盾","未確定(情報源の矛盾)",IF(G69="","取得不能",IF(L69="割れ(旧掲載疑い)","未確定(最低賃金割れ)",IF(M69="不足","未確定(証拠不足)","媒体掲載値"))))))))</f>
        <v/>
      </c>
      <c r="O69" s="8" t="inlineStr">
        <is>
          <t>2026-07-31</t>
        </is>
      </c>
      <c r="P69" s="8" t="inlineStr"/>
    </row>
    <row r="70">
      <c r="A70" s="8" t="n">
        <v>65</v>
      </c>
      <c r="B70" s="8" t="inlineStr">
        <is>
          <t>鳥栖真木店</t>
        </is>
      </c>
      <c r="C70" s="8" t="inlineStr">
        <is>
          <t>ファストフード</t>
        </is>
      </c>
      <c r="D70" s="8" t="inlineStr">
        <is>
          <t>モスバーガー(鳥栖市)</t>
        </is>
      </c>
      <c r="E70" s="8" t="inlineStr"/>
      <c r="F70" s="8" t="inlineStr"/>
      <c r="G70" s="8" t="n"/>
      <c r="H70" s="8" t="inlineStr">
        <is>
          <t>店舗別の掲載を取得できず</t>
        </is>
      </c>
      <c r="I70" s="8" t="inlineStr">
        <is>
          <t>未取得</t>
        </is>
      </c>
      <c r="J70" s="8" t="inlineStr">
        <is>
          <t>https://mos-recruit.net/</t>
        </is>
      </c>
      <c r="K70" s="8" t="n">
        <v>1030</v>
      </c>
      <c r="L70" s="8">
        <f>IF(G70="","-",IF(G70&lt;K70,"割れ(旧掲載疑い)","OK"))</f>
        <v/>
      </c>
      <c r="M70" s="8">
        <f>IF(AND(D70&lt;&gt;"",E70&lt;&gt;"",F70&lt;&gt;"",G70&lt;&gt;""),"充足","不足")</f>
        <v/>
      </c>
      <c r="N70" s="8">
        <f>IF(I70="近隣求人欄","未確定(近隣欄からの抽出)",IF(I70="ブランド共通","未確定(店舗非固有)",IF(I70="施設一般","未確定(施設一般値)",IF(I70="店舗非特定","未確定(店舗非特定)",IF(I70="情報源矛盾","未確定(情報源の矛盾)",IF(G70="","取得不能",IF(L70="割れ(旧掲載疑い)","未確定(最低賃金割れ)",IF(M70="不足","未確定(証拠不足)","媒体掲載値"))))))))</f>
        <v/>
      </c>
      <c r="O70" s="8" t="inlineStr">
        <is>
          <t>2026-07-31</t>
        </is>
      </c>
      <c r="P70" s="8" t="inlineStr"/>
    </row>
    <row r="71">
      <c r="A71" s="8" t="n">
        <v>66</v>
      </c>
      <c r="B71" s="8" t="inlineStr">
        <is>
          <t>佐賀兵庫店</t>
        </is>
      </c>
      <c r="C71" s="8" t="inlineStr">
        <is>
          <t>うどん・そば</t>
        </is>
      </c>
      <c r="D71" s="8" t="inlineStr">
        <is>
          <t>うどんウエスト 佐賀光法店</t>
        </is>
      </c>
      <c r="E71" s="8" t="inlineStr">
        <is>
          <t>佐賀県佐賀市光法</t>
        </is>
      </c>
      <c r="F71" s="8" t="inlineStr">
        <is>
          <t>job84382253</t>
        </is>
      </c>
      <c r="G71" s="8" t="n">
        <v>1150</v>
      </c>
      <c r="H71" s="8" t="inlineStr">
        <is>
          <t>うどんコーナー 1,150円～／高校生 1,030円～</t>
        </is>
      </c>
      <c r="I71" s="8" t="inlineStr">
        <is>
          <t>対象求人本文</t>
        </is>
      </c>
      <c r="J71" s="8" t="inlineStr">
        <is>
          <t>https://www.baitoru.com/kyushu/jlist/saga/sagashi/job84382253/</t>
        </is>
      </c>
      <c r="K71" s="8" t="n">
        <v>1030</v>
      </c>
      <c r="L71" s="8">
        <f>IF(G71="","-",IF(G71&lt;K71,"割れ(旧掲載疑い)","OK"))</f>
        <v/>
      </c>
      <c r="M71" s="8">
        <f>IF(AND(D71&lt;&gt;"",E71&lt;&gt;"",F71&lt;&gt;"",G71&lt;&gt;""),"充足","不足")</f>
        <v/>
      </c>
      <c r="N71" s="8">
        <f>IF(I71="近隣求人欄","未確定(近隣欄からの抽出)",IF(I71="ブランド共通","未確定(店舗非固有)",IF(I71="施設一般","未確定(施設一般値)",IF(I71="店舗非特定","未確定(店舗非特定)",IF(I71="情報源矛盾","未確定(情報源の矛盾)",IF(G71="","取得不能",IF(L71="割れ(旧掲載疑い)","未確定(最低賃金割れ)",IF(M71="不足","未確定(証拠不足)","媒体掲載値"))))))))</f>
        <v/>
      </c>
      <c r="O71" s="8" t="inlineStr">
        <is>
          <t>2026-07-31</t>
        </is>
      </c>
      <c r="P71" s="8" t="inlineStr">
        <is>
          <t>兵庫町ではなく佐賀市光法</t>
        </is>
      </c>
    </row>
    <row r="72">
      <c r="A72" s="7" t="n">
        <v>67</v>
      </c>
      <c r="B72" s="7" t="inlineStr">
        <is>
          <t>佐賀兵庫店</t>
        </is>
      </c>
      <c r="C72" s="7" t="inlineStr">
        <is>
          <t>うどん・そば</t>
        </is>
      </c>
      <c r="D72" s="7" t="inlineStr">
        <is>
          <t>丸亀製麺 佐賀店</t>
        </is>
      </c>
      <c r="E72" s="7" t="inlineStr">
        <is>
          <t>佐賀県佐賀市</t>
        </is>
      </c>
      <c r="F72" s="7" t="inlineStr">
        <is>
          <t>A10701917124</t>
        </is>
      </c>
      <c r="G72" s="7" t="n">
        <v>1000</v>
      </c>
      <c r="H72" s="7" t="inlineStr">
        <is>
          <t>ホールスタッフ 1,000円～／22時以降25%UP</t>
        </is>
      </c>
      <c r="I72" s="7" t="inlineStr">
        <is>
          <t>対象求人本文</t>
        </is>
      </c>
      <c r="J72" s="7" t="inlineStr">
        <is>
          <t>https://toridoll-job.com/toridoll02/A10701917124/MDkyujin_d.htm</t>
        </is>
      </c>
      <c r="K72" s="7" t="n">
        <v>1030</v>
      </c>
      <c r="L72" s="7">
        <f>IF(G72="","-",IF(G72&lt;K72,"割れ(旧掲載疑い)","OK"))</f>
        <v/>
      </c>
      <c r="M72" s="7">
        <f>IF(AND(D72&lt;&gt;"",E72&lt;&gt;"",F72&lt;&gt;"",G72&lt;&gt;""),"充足","不足")</f>
        <v/>
      </c>
      <c r="N72" s="7">
        <f>IF(I72="近隣求人欄","未確定(近隣欄からの抽出)",IF(I72="ブランド共通","未確定(店舗非固有)",IF(I72="施設一般","未確定(施設一般値)",IF(I72="店舗非特定","未確定(店舗非特定)",IF(I72="情報源矛盾","未確定(情報源の矛盾)",IF(G72="","取得不能",IF(L72="割れ(旧掲載疑い)","未確定(最低賃金割れ)",IF(M72="不足","未確定(証拠不足)","媒体掲載値"))))))))</f>
        <v/>
      </c>
      <c r="O72" s="7" t="inlineStr">
        <is>
          <t>2026-07-31</t>
        </is>
      </c>
      <c r="P72" s="7" t="inlineStr">
        <is>
          <t>★佐賀県最低賃金1,030円を下回る=旧掲載</t>
        </is>
      </c>
    </row>
    <row r="73">
      <c r="A73" s="8" t="n">
        <v>68</v>
      </c>
      <c r="B73" s="8" t="inlineStr">
        <is>
          <t>佐賀兵庫店</t>
        </is>
      </c>
      <c r="C73" s="8" t="inlineStr">
        <is>
          <t>ファミレス</t>
        </is>
      </c>
      <c r="D73" s="8" t="inlineStr">
        <is>
          <t>ジョイフル 南佐賀店</t>
        </is>
      </c>
      <c r="E73" s="8" t="inlineStr">
        <is>
          <t>佐賀県佐賀市</t>
        </is>
      </c>
      <c r="F73" s="8" t="inlineStr">
        <is>
          <t>job-131932807</t>
        </is>
      </c>
      <c r="G73" s="8" t="n">
        <v>1150</v>
      </c>
      <c r="H73" s="8" t="inlineStr">
        <is>
          <t>求人表示 1,150～1,350円</t>
        </is>
      </c>
      <c r="I73" s="8" t="inlineStr">
        <is>
          <t>対象求人本文</t>
        </is>
      </c>
      <c r="J73" s="8" t="inlineStr">
        <is>
          <t>https://baito.mynavi.jp/cl-002216705350/job-131932807/</t>
        </is>
      </c>
      <c r="K73" s="8" t="n">
        <v>1030</v>
      </c>
      <c r="L73" s="8">
        <f>IF(G73="","-",IF(G73&lt;K73,"割れ(旧掲載疑い)","OK"))</f>
        <v/>
      </c>
      <c r="M73" s="8">
        <f>IF(AND(D73&lt;&gt;"",E73&lt;&gt;"",F73&lt;&gt;"",G73&lt;&gt;""),"充足","不足")</f>
        <v/>
      </c>
      <c r="N73" s="8">
        <f>IF(I73="近隣求人欄","未確定(近隣欄からの抽出)",IF(I73="ブランド共通","未確定(店舗非固有)",IF(I73="施設一般","未確定(施設一般値)",IF(I73="店舗非特定","未確定(店舗非特定)",IF(I73="情報源矛盾","未確定(情報源の矛盾)",IF(G73="","取得不能",IF(L73="割れ(旧掲載疑い)","未確定(最低賃金割れ)",IF(M73="不足","未確定(証拠不足)","媒体掲載値"))))))))</f>
        <v/>
      </c>
      <c r="O73" s="8" t="inlineStr">
        <is>
          <t>2026-07-31</t>
        </is>
      </c>
      <c r="P73" s="8" t="inlineStr"/>
    </row>
    <row r="74">
      <c r="A74" s="8" t="n">
        <v>69</v>
      </c>
      <c r="B74" s="8" t="inlineStr">
        <is>
          <t>佐賀兵庫店</t>
        </is>
      </c>
      <c r="C74" s="8" t="inlineStr">
        <is>
          <t>ファミレス</t>
        </is>
      </c>
      <c r="D74" s="8" t="inlineStr">
        <is>
          <t>ジョイフル 佐賀店</t>
        </is>
      </c>
      <c r="E74" s="8" t="inlineStr">
        <is>
          <t>佐賀県佐賀市</t>
        </is>
      </c>
      <c r="F74" s="8" t="inlineStr">
        <is>
          <t>job-120951522</t>
        </is>
      </c>
      <c r="G74" s="8" t="n">
        <v>1100</v>
      </c>
      <c r="H74" s="8" t="inlineStr">
        <is>
          <t>求人表示 1,100～1,500円</t>
        </is>
      </c>
      <c r="I74" s="8" t="inlineStr">
        <is>
          <t>対象求人本文</t>
        </is>
      </c>
      <c r="J74" s="8" t="inlineStr">
        <is>
          <t>https://baito.mynavi.jp/cl-002216705350/job-120951522/</t>
        </is>
      </c>
      <c r="K74" s="8" t="n">
        <v>1030</v>
      </c>
      <c r="L74" s="8">
        <f>IF(G74="","-",IF(G74&lt;K74,"割れ(旧掲載疑い)","OK"))</f>
        <v/>
      </c>
      <c r="M74" s="8">
        <f>IF(AND(D74&lt;&gt;"",E74&lt;&gt;"",F74&lt;&gt;"",G74&lt;&gt;""),"充足","不足")</f>
        <v/>
      </c>
      <c r="N74" s="8">
        <f>IF(I74="近隣求人欄","未確定(近隣欄からの抽出)",IF(I74="ブランド共通","未確定(店舗非固有)",IF(I74="施設一般","未確定(施設一般値)",IF(I74="店舗非特定","未確定(店舗非特定)",IF(I74="情報源矛盾","未確定(情報源の矛盾)",IF(G74="","取得不能",IF(L74="割れ(旧掲載疑い)","未確定(最低賃金割れ)",IF(M74="不足","未確定(証拠不足)","媒体掲載値"))))))))</f>
        <v/>
      </c>
      <c r="O74" s="8" t="inlineStr">
        <is>
          <t>2026-07-31</t>
        </is>
      </c>
      <c r="P74" s="8" t="inlineStr"/>
    </row>
    <row r="75">
      <c r="A75" s="8" t="n">
        <v>70</v>
      </c>
      <c r="B75" s="8" t="inlineStr">
        <is>
          <t>佐賀兵庫店</t>
        </is>
      </c>
      <c r="C75" s="8" t="inlineStr">
        <is>
          <t>ファミレス</t>
        </is>
      </c>
      <c r="D75" s="8" t="inlineStr">
        <is>
          <t>ジョイフル 佐賀開成店</t>
        </is>
      </c>
      <c r="E75" s="8" t="inlineStr">
        <is>
          <t>佐賀県佐賀市開成</t>
        </is>
      </c>
      <c r="F75" s="8" t="inlineStr">
        <is>
          <t>job-114021994</t>
        </is>
      </c>
      <c r="G75" s="8" t="n">
        <v>1100</v>
      </c>
      <c r="H75" s="8" t="inlineStr">
        <is>
          <t>求人表示 1,100～1,375円</t>
        </is>
      </c>
      <c r="I75" s="8" t="inlineStr">
        <is>
          <t>対象求人本文</t>
        </is>
      </c>
      <c r="J75" s="8" t="inlineStr">
        <is>
          <t>https://baito.mynavi.jp/cl-002769109699/job-114021994/</t>
        </is>
      </c>
      <c r="K75" s="8" t="n">
        <v>1030</v>
      </c>
      <c r="L75" s="8">
        <f>IF(G75="","-",IF(G75&lt;K75,"割れ(旧掲載疑い)","OK"))</f>
        <v/>
      </c>
      <c r="M75" s="8">
        <f>IF(AND(D75&lt;&gt;"",E75&lt;&gt;"",F75&lt;&gt;"",G75&lt;&gt;""),"充足","不足")</f>
        <v/>
      </c>
      <c r="N75" s="8">
        <f>IF(I75="近隣求人欄","未確定(近隣欄からの抽出)",IF(I75="ブランド共通","未確定(店舗非固有)",IF(I75="施設一般","未確定(施設一般値)",IF(I75="店舗非特定","未確定(店舗非特定)",IF(I75="情報源矛盾","未確定(情報源の矛盾)",IF(G75="","取得不能",IF(L75="割れ(旧掲載疑い)","未確定(最低賃金割れ)",IF(M75="不足","未確定(証拠不足)","媒体掲載値"))))))))</f>
        <v/>
      </c>
      <c r="O75" s="8" t="inlineStr">
        <is>
          <t>2026-07-31</t>
        </is>
      </c>
      <c r="P75" s="8" t="inlineStr"/>
    </row>
    <row r="76">
      <c r="A76" s="8" t="n">
        <v>71</v>
      </c>
      <c r="B76" s="8" t="inlineStr">
        <is>
          <t>佐賀兵庫店</t>
        </is>
      </c>
      <c r="C76" s="8" t="inlineStr">
        <is>
          <t>ファミレス</t>
        </is>
      </c>
      <c r="D76" s="8" t="inlineStr">
        <is>
          <t>ジョイフル 佐賀西与賀店</t>
        </is>
      </c>
      <c r="E76" s="8" t="inlineStr">
        <is>
          <t>佐賀県佐賀市西与賀</t>
        </is>
      </c>
      <c r="F76" s="8" t="inlineStr">
        <is>
          <t>7379/2329</t>
        </is>
      </c>
      <c r="G76" s="8" t="n">
        <v>1100</v>
      </c>
      <c r="H76" s="8" t="inlineStr">
        <is>
          <t>9-15時 1,130円／15-18時 1,100円／18-22時 1,150円／22-5時 1,375円／5-9時 1,150円／高校生 1,030円</t>
        </is>
      </c>
      <c r="I76" s="8" t="inlineStr">
        <is>
          <t>対象求人本文</t>
        </is>
      </c>
      <c r="J76" s="8" t="inlineStr">
        <is>
          <t>https://arubaito-next.com/detail/dsaiyo/cct7/7379/2329/</t>
        </is>
      </c>
      <c r="K76" s="8" t="n">
        <v>1030</v>
      </c>
      <c r="L76" s="8">
        <f>IF(G76="","-",IF(G76&lt;K76,"割れ(旧掲載疑い)","OK"))</f>
        <v/>
      </c>
      <c r="M76" s="8">
        <f>IF(AND(D76&lt;&gt;"",E76&lt;&gt;"",F76&lt;&gt;"",G76&lt;&gt;""),"充足","不足")</f>
        <v/>
      </c>
      <c r="N76" s="8">
        <f>IF(I76="近隣求人欄","未確定(近隣欄からの抽出)",IF(I76="ブランド共通","未確定(店舗非固有)",IF(I76="施設一般","未確定(施設一般値)",IF(I76="店舗非特定","未確定(店舗非特定)",IF(I76="情報源矛盾","未確定(情報源の矛盾)",IF(G76="","取得不能",IF(L76="割れ(旧掲載疑い)","未確定(最低賃金割れ)",IF(M76="不足","未確定(証拠不足)","媒体掲載値"))))))))</f>
        <v/>
      </c>
      <c r="O76" s="8" t="inlineStr">
        <is>
          <t>2026-07-31</t>
        </is>
      </c>
      <c r="P76" s="8" t="inlineStr"/>
    </row>
    <row r="77">
      <c r="A77" s="8" t="n">
        <v>72</v>
      </c>
      <c r="B77" s="8" t="inlineStr">
        <is>
          <t>佐賀兵庫店</t>
        </is>
      </c>
      <c r="C77" s="8" t="inlineStr">
        <is>
          <t>ファストフード</t>
        </is>
      </c>
      <c r="D77" s="8" t="inlineStr">
        <is>
          <t>マクドナルド 佐賀ゆめタウン店</t>
        </is>
      </c>
      <c r="E77" s="8" t="inlineStr">
        <is>
          <t>佐賀県佐賀市(ゆめタウン佐賀)</t>
        </is>
      </c>
      <c r="F77" s="8" t="inlineStr">
        <is>
          <t>マクドナルド佐賀ゆめタウン店</t>
        </is>
      </c>
      <c r="G77" s="8" t="n">
        <v>1050</v>
      </c>
      <c r="H77" s="8" t="inlineStr">
        <is>
          <t>1,050円</t>
        </is>
      </c>
      <c r="I77" s="8" t="inlineStr">
        <is>
          <t>対象求人本文</t>
        </is>
      </c>
      <c r="J77" s="8" t="inlineStr">
        <is>
          <t>https://crewrecruiting.mcdonalds.co.jp/</t>
        </is>
      </c>
      <c r="K77" s="8" t="n">
        <v>1030</v>
      </c>
      <c r="L77" s="8">
        <f>IF(G77="","-",IF(G77&lt;K77,"割れ(旧掲載疑い)","OK"))</f>
        <v/>
      </c>
      <c r="M77" s="8">
        <f>IF(AND(D77&lt;&gt;"",E77&lt;&gt;"",F77&lt;&gt;"",G77&lt;&gt;""),"充足","不足")</f>
        <v/>
      </c>
      <c r="N77" s="8">
        <f>IF(I77="近隣求人欄","未確定(近隣欄からの抽出)",IF(I77="ブランド共通","未確定(店舗非固有)",IF(I77="施設一般","未確定(施設一般値)",IF(I77="店舗非特定","未確定(店舗非特定)",IF(I77="情報源矛盾","未確定(情報源の矛盾)",IF(G77="","取得不能",IF(L77="割れ(旧掲載疑い)","未確定(最低賃金割れ)",IF(M77="不足","未確定(証拠不足)","媒体掲載値"))))))))</f>
        <v/>
      </c>
      <c r="O77" s="8" t="inlineStr">
        <is>
          <t>2026-07-31</t>
        </is>
      </c>
      <c r="P77" s="8" t="inlineStr"/>
    </row>
    <row r="78">
      <c r="A78" s="8" t="n">
        <v>73</v>
      </c>
      <c r="B78" s="8" t="inlineStr">
        <is>
          <t>佐賀兵庫店</t>
        </is>
      </c>
      <c r="C78" s="8" t="inlineStr">
        <is>
          <t>ファストフード</t>
        </is>
      </c>
      <c r="D78" s="8" t="inlineStr">
        <is>
          <t>マクドナルド 佐賀ミスターマックス店</t>
        </is>
      </c>
      <c r="E78" s="8" t="inlineStr">
        <is>
          <t>佐賀県佐賀市</t>
        </is>
      </c>
      <c r="F78" s="8" t="inlineStr">
        <is>
          <t>job156938822</t>
        </is>
      </c>
      <c r="G78" s="8" t="n">
        <v>1050</v>
      </c>
      <c r="H78" s="8" t="inlineStr">
        <is>
          <t>1,050円～／高校生22-5時25%UP</t>
        </is>
      </c>
      <c r="I78" s="8" t="inlineStr">
        <is>
          <t>対象求人本文</t>
        </is>
      </c>
      <c r="J78" s="8" t="inlineStr">
        <is>
          <t>https://www.baitoru.com/kyushu/jlist/saga/sagashi/job156938822/</t>
        </is>
      </c>
      <c r="K78" s="8" t="n">
        <v>1030</v>
      </c>
      <c r="L78" s="8">
        <f>IF(G78="","-",IF(G78&lt;K78,"割れ(旧掲載疑い)","OK"))</f>
        <v/>
      </c>
      <c r="M78" s="8">
        <f>IF(AND(D78&lt;&gt;"",E78&lt;&gt;"",F78&lt;&gt;"",G78&lt;&gt;""),"充足","不足")</f>
        <v/>
      </c>
      <c r="N78" s="8">
        <f>IF(I78="近隣求人欄","未確定(近隣欄からの抽出)",IF(I78="ブランド共通","未確定(店舗非固有)",IF(I78="施設一般","未確定(施設一般値)",IF(I78="店舗非特定","未確定(店舗非特定)",IF(I78="情報源矛盾","未確定(情報源の矛盾)",IF(G78="","取得不能",IF(L78="割れ(旧掲載疑い)","未確定(最低賃金割れ)",IF(M78="不足","未確定(証拠不足)","媒体掲載値"))))))))</f>
        <v/>
      </c>
      <c r="O78" s="8" t="inlineStr">
        <is>
          <t>2026-07-31</t>
        </is>
      </c>
      <c r="P78" s="8" t="inlineStr"/>
    </row>
    <row r="79">
      <c r="A79" s="7" t="n">
        <v>74</v>
      </c>
      <c r="B79" s="7" t="inlineStr">
        <is>
          <t>佐賀兵庫店</t>
        </is>
      </c>
      <c r="C79" s="7" t="inlineStr">
        <is>
          <t>ファストフード</t>
        </is>
      </c>
      <c r="D79" s="7" t="inlineStr">
        <is>
          <t>ロッテリア モラージュ佐賀店</t>
        </is>
      </c>
      <c r="E79" s="7" t="inlineStr">
        <is>
          <t>佐賀県佐賀市巨勢町(モラージュ佐賀)</t>
        </is>
      </c>
      <c r="F79" s="7" t="inlineStr">
        <is>
          <t>1092</t>
        </is>
      </c>
      <c r="G79" s="7" t="n">
        <v>1000</v>
      </c>
      <c r="H79" s="7" t="inlineStr">
        <is>
          <t>1,000円以上</t>
        </is>
      </c>
      <c r="I79" s="7" t="inlineStr">
        <is>
          <t>対象求人本文</t>
        </is>
      </c>
      <c r="J79" s="7" t="inlineStr">
        <is>
          <t>https://lotteria-arbeit.net/jobfind-pc/job/All/1092</t>
        </is>
      </c>
      <c r="K79" s="7" t="n">
        <v>1030</v>
      </c>
      <c r="L79" s="7">
        <f>IF(G79="","-",IF(G79&lt;K79,"割れ(旧掲載疑い)","OK"))</f>
        <v/>
      </c>
      <c r="M79" s="7">
        <f>IF(AND(D79&lt;&gt;"",E79&lt;&gt;"",F79&lt;&gt;"",G79&lt;&gt;""),"充足","不足")</f>
        <v/>
      </c>
      <c r="N79" s="7">
        <f>IF(I79="近隣求人欄","未確定(近隣欄からの抽出)",IF(I79="ブランド共通","未確定(店舗非固有)",IF(I79="施設一般","未確定(施設一般値)",IF(I79="店舗非特定","未確定(店舗非特定)",IF(I79="情報源矛盾","未確定(情報源の矛盾)",IF(G79="","取得不能",IF(L79="割れ(旧掲載疑い)","未確定(最低賃金割れ)",IF(M79="不足","未確定(証拠不足)","媒体掲載値"))))))))</f>
        <v/>
      </c>
      <c r="O79" s="7" t="inlineStr">
        <is>
          <t>2026-07-31</t>
        </is>
      </c>
      <c r="P79" s="7" t="inlineStr">
        <is>
          <t>★佐賀県最低賃金1,030円を下回る=旧掲載</t>
        </is>
      </c>
    </row>
    <row r="80">
      <c r="A80" s="8" t="n">
        <v>75</v>
      </c>
      <c r="B80" s="8" t="inlineStr">
        <is>
          <t>佐賀兵庫店</t>
        </is>
      </c>
      <c r="C80" s="8" t="inlineStr">
        <is>
          <t>回転寿司</t>
        </is>
      </c>
      <c r="D80" s="8" t="inlineStr">
        <is>
          <t>スシロー 佐賀兵庫店</t>
        </is>
      </c>
      <c r="E80" s="8" t="inlineStr">
        <is>
          <t>佐賀県佐賀市兵庫町</t>
        </is>
      </c>
      <c r="F80" s="8" t="inlineStr">
        <is>
          <t>job159240318</t>
        </is>
      </c>
      <c r="G80" s="8" t="n">
        <v>1080</v>
      </c>
      <c r="H80" s="8" t="inlineStr">
        <is>
          <t>1,080～1,350円／土日祝UP／22時以降1,350円／高校生1,030円／研修60h 1,030～1,288円</t>
        </is>
      </c>
      <c r="I80" s="8" t="inlineStr">
        <is>
          <t>対象求人本文</t>
        </is>
      </c>
      <c r="J80" s="8" t="inlineStr">
        <is>
          <t>https://www.baitoru.com/kyushu/jlist/saga/sagashi/job159240318/</t>
        </is>
      </c>
      <c r="K80" s="8" t="n">
        <v>1030</v>
      </c>
      <c r="L80" s="8">
        <f>IF(G80="","-",IF(G80&lt;K80,"割れ(旧掲載疑い)","OK"))</f>
        <v/>
      </c>
      <c r="M80" s="8">
        <f>IF(AND(D80&lt;&gt;"",E80&lt;&gt;"",F80&lt;&gt;"",G80&lt;&gt;""),"充足","不足")</f>
        <v/>
      </c>
      <c r="N80" s="8">
        <f>IF(I80="近隣求人欄","未確定(近隣欄からの抽出)",IF(I80="ブランド共通","未確定(店舗非固有)",IF(I80="施設一般","未確定(施設一般値)",IF(I80="店舗非特定","未確定(店舗非特定)",IF(I80="情報源矛盾","未確定(情報源の矛盾)",IF(G80="","取得不能",IF(L80="割れ(旧掲載疑い)","未確定(最低賃金割れ)",IF(M80="不足","未確定(証拠不足)","媒体掲載値"))))))))</f>
        <v/>
      </c>
      <c r="O80" s="8" t="inlineStr">
        <is>
          <t>2026-07-31</t>
        </is>
      </c>
      <c r="P80" s="8" t="inlineStr">
        <is>
          <t>同じ兵庫町エリアの直近競合</t>
        </is>
      </c>
    </row>
    <row r="81">
      <c r="A81" s="8" t="n">
        <v>76</v>
      </c>
      <c r="B81" s="8" t="inlineStr">
        <is>
          <t>佐賀兵庫店</t>
        </is>
      </c>
      <c r="C81" s="8" t="inlineStr">
        <is>
          <t>回転寿司</t>
        </is>
      </c>
      <c r="D81" s="8" t="inlineStr">
        <is>
          <t>無添くら寿司 佐賀若宮店</t>
        </is>
      </c>
      <c r="E81" s="8" t="inlineStr">
        <is>
          <t>佐賀県佐賀市若宮</t>
        </is>
      </c>
      <c r="F81" s="8" t="inlineStr">
        <is>
          <t>佐賀若宮店</t>
        </is>
      </c>
      <c r="G81" s="8" t="n">
        <v>1080</v>
      </c>
      <c r="H81" s="8" t="inlineStr">
        <is>
          <t>1,080～1,400円</t>
        </is>
      </c>
      <c r="I81" s="8" t="inlineStr">
        <is>
          <t>対象求人本文</t>
        </is>
      </c>
      <c r="J81" s="8" t="inlineStr">
        <is>
          <t>https://kura-job.net/jobfind-pc/area/KyushuOkinawa/Saga/41201</t>
        </is>
      </c>
      <c r="K81" s="8" t="n">
        <v>1030</v>
      </c>
      <c r="L81" s="8">
        <f>IF(G81="","-",IF(G81&lt;K81,"割れ(旧掲載疑い)","OK"))</f>
        <v/>
      </c>
      <c r="M81" s="8">
        <f>IF(AND(D81&lt;&gt;"",E81&lt;&gt;"",F81&lt;&gt;"",G81&lt;&gt;""),"充足","不足")</f>
        <v/>
      </c>
      <c r="N81" s="8">
        <f>IF(I81="近隣求人欄","未確定(近隣欄からの抽出)",IF(I81="ブランド共通","未確定(店舗非固有)",IF(I81="施設一般","未確定(施設一般値)",IF(I81="店舗非特定","未確定(店舗非特定)",IF(I81="情報源矛盾","未確定(情報源の矛盾)",IF(G81="","取得不能",IF(L81="割れ(旧掲載疑い)","未確定(最低賃金割れ)",IF(M81="不足","未確定(証拠不足)","媒体掲載値"))))))))</f>
        <v/>
      </c>
      <c r="O81" s="8" t="inlineStr">
        <is>
          <t>2026-07-31</t>
        </is>
      </c>
      <c r="P81" s="8" t="inlineStr"/>
    </row>
    <row r="82">
      <c r="A82" s="8" t="n">
        <v>77</v>
      </c>
      <c r="B82" s="8" t="inlineStr">
        <is>
          <t>佐賀兵庫店</t>
        </is>
      </c>
      <c r="C82" s="8" t="inlineStr">
        <is>
          <t>回転寿司</t>
        </is>
      </c>
      <c r="D82" s="8" t="inlineStr">
        <is>
          <t>無添くら寿司 佐賀南店</t>
        </is>
      </c>
      <c r="E82" s="8" t="inlineStr">
        <is>
          <t>佐賀県佐賀市</t>
        </is>
      </c>
      <c r="F82" s="8" t="inlineStr">
        <is>
          <t>佐賀南店</t>
        </is>
      </c>
      <c r="G82" s="8" t="n">
        <v>1060</v>
      </c>
      <c r="H82" s="8" t="inlineStr">
        <is>
          <t>1,060～1,338円</t>
        </is>
      </c>
      <c r="I82" s="8" t="inlineStr">
        <is>
          <t>対象求人本文</t>
        </is>
      </c>
      <c r="J82" s="8" t="inlineStr">
        <is>
          <t>https://kura-job.net/jobfind-pc/area/KyushuOkinawa/Saga/41201</t>
        </is>
      </c>
      <c r="K82" s="8" t="n">
        <v>1030</v>
      </c>
      <c r="L82" s="8">
        <f>IF(G82="","-",IF(G82&lt;K82,"割れ(旧掲載疑い)","OK"))</f>
        <v/>
      </c>
      <c r="M82" s="8">
        <f>IF(AND(D82&lt;&gt;"",E82&lt;&gt;"",F82&lt;&gt;"",G82&lt;&gt;""),"充足","不足")</f>
        <v/>
      </c>
      <c r="N82" s="8">
        <f>IF(I82="近隣求人欄","未確定(近隣欄からの抽出)",IF(I82="ブランド共通","未確定(店舗非固有)",IF(I82="施設一般","未確定(施設一般値)",IF(I82="店舗非特定","未確定(店舗非特定)",IF(I82="情報源矛盾","未確定(情報源の矛盾)",IF(G82="","取得不能",IF(L82="割れ(旧掲載疑い)","未確定(最低賃金割れ)",IF(M82="不足","未確定(証拠不足)","媒体掲載値"))))))))</f>
        <v/>
      </c>
      <c r="O82" s="8" t="inlineStr">
        <is>
          <t>2026-07-31</t>
        </is>
      </c>
      <c r="P82" s="8" t="inlineStr"/>
    </row>
    <row r="83">
      <c r="A83" s="8" t="n">
        <v>78</v>
      </c>
      <c r="B83" s="8" t="inlineStr">
        <is>
          <t>佐賀兵庫店</t>
        </is>
      </c>
      <c r="C83" s="8" t="inlineStr">
        <is>
          <t>商業施設</t>
        </is>
      </c>
      <c r="D83" s="8" t="inlineStr">
        <is>
          <t>天麩羅こむぎ モラージュ佐賀</t>
        </is>
      </c>
      <c r="E83" s="8" t="inlineStr">
        <is>
          <t>佐賀県佐賀市巨勢町(モラージュ佐賀)</t>
        </is>
      </c>
      <c r="F83" s="8" t="inlineStr"/>
      <c r="G83" s="8" t="n">
        <v>1050</v>
      </c>
      <c r="H83" s="8" t="inlineStr">
        <is>
          <t>1,050円以上／高校生可</t>
        </is>
      </c>
      <c r="I83" s="8" t="inlineStr">
        <is>
          <t>対象求人本文</t>
        </is>
      </c>
      <c r="J83" s="8" t="inlineStr">
        <is>
          <t>https://townwork.net/job_search/kw/%E3%83%A2%E3%83%A9%E3%83%BC%E3%82%B8%E3%83%A5+%E3%83%90%E3%82%A4%E3%83%88+%E4%BD%90%E8%B3%80%E7%9C%8C+%E4%BD%90%E8%B3%80%E5%B8%82/</t>
        </is>
      </c>
      <c r="K83" s="8" t="n">
        <v>1030</v>
      </c>
      <c r="L83" s="8">
        <f>IF(G83="","-",IF(G83&lt;K83,"割れ(旧掲載疑い)","OK"))</f>
        <v/>
      </c>
      <c r="M83" s="8">
        <f>IF(AND(D83&lt;&gt;"",E83&lt;&gt;"",F83&lt;&gt;"",G83&lt;&gt;""),"充足","不足")</f>
        <v/>
      </c>
      <c r="N83" s="8">
        <f>IF(I83="近隣求人欄","未確定(近隣欄からの抽出)",IF(I83="ブランド共通","未確定(店舗非固有)",IF(I83="施設一般","未確定(施設一般値)",IF(I83="店舗非特定","未確定(店舗非特定)",IF(I83="情報源矛盾","未確定(情報源の矛盾)",IF(G83="","取得不能",IF(L83="割れ(旧掲載疑い)","未確定(最低賃金割れ)",IF(M83="不足","未確定(証拠不足)","媒体掲載値"))))))))</f>
        <v/>
      </c>
      <c r="O83" s="8" t="inlineStr">
        <is>
          <t>2026-07-31</t>
        </is>
      </c>
      <c r="P83" s="8" t="inlineStr"/>
    </row>
    <row r="84">
      <c r="A84" s="7" t="n">
        <v>79</v>
      </c>
      <c r="B84" s="7" t="inlineStr">
        <is>
          <t>宮崎阿波岐原店</t>
        </is>
      </c>
      <c r="C84" s="7" t="inlineStr">
        <is>
          <t>自社(参考)</t>
        </is>
      </c>
      <c r="D84" s="7" t="inlineStr">
        <is>
          <t>資さんうどん 宮崎阿波岐原店の公開求人</t>
        </is>
      </c>
      <c r="E84" s="7" t="inlineStr">
        <is>
          <t>宮崎県宮崎市阿波岐原町請田2420</t>
        </is>
      </c>
      <c r="F84" s="7" t="inlineStr">
        <is>
          <t>12099</t>
        </is>
      </c>
      <c r="G84" s="7" t="n">
        <v>1000</v>
      </c>
      <c r="H84" s="7" t="inlineStr">
        <is>
          <t>平日1,000円～／土日祝1,130円～／深夜 平日1,250円・土日祝1,413円</t>
        </is>
      </c>
      <c r="I84" s="7" t="inlineStr">
        <is>
          <t>対象求人本文</t>
        </is>
      </c>
      <c r="J84" s="7" t="inlineStr">
        <is>
          <t>https://sukesan-job.net/jobfind-pc/job/All/12099</t>
        </is>
      </c>
      <c r="K84" s="7" t="n">
        <v>1023</v>
      </c>
      <c r="L84" s="7">
        <f>IF(G84="","-",IF(G84&lt;K84,"割れ(旧掲載疑い)","OK"))</f>
        <v/>
      </c>
      <c r="M84" s="7">
        <f>IF(AND(D84&lt;&gt;"",E84&lt;&gt;"",F84&lt;&gt;"",G84&lt;&gt;""),"充足","不足")</f>
        <v/>
      </c>
      <c r="N84" s="7">
        <f>IF(I84="近隣求人欄","未確定(近隣欄からの抽出)",IF(I84="ブランド共通","未確定(店舗非固有)",IF(I84="施設一般","未確定(施設一般値)",IF(I84="店舗非特定","未確定(店舗非特定)",IF(I84="情報源矛盾","未確定(情報源の矛盾)",IF(G84="","取得不能",IF(L84="割れ(旧掲載疑い)","未確定(最低賃金割れ)",IF(M84="不足","未確定(証拠不足)","媒体掲載値"))))))))</f>
        <v/>
      </c>
      <c r="O84" s="7" t="inlineStr">
        <is>
          <t>2026-07-31</t>
        </is>
      </c>
      <c r="P84" s="7" t="inlineStr">
        <is>
          <t>★社内データの現行1,050円と食い違う。1,000円は宮崎県最低賃金1,023円を下回る旧掲載</t>
        </is>
      </c>
    </row>
    <row r="85">
      <c r="A85" s="8" t="n">
        <v>80</v>
      </c>
      <c r="B85" s="8" t="inlineStr">
        <is>
          <t>宮崎阿波岐原店</t>
        </is>
      </c>
      <c r="C85" s="8" t="inlineStr">
        <is>
          <t>うどん・そば</t>
        </is>
      </c>
      <c r="D85" s="8" t="inlineStr">
        <is>
          <t>丸亀製麺 イオンモール宮崎店</t>
        </is>
      </c>
      <c r="E85" s="8" t="inlineStr">
        <is>
          <t>宮崎県宮崎市(イオンモール宮崎)</t>
        </is>
      </c>
      <c r="F85" s="8" t="inlineStr">
        <is>
          <t>AC0121911288</t>
        </is>
      </c>
      <c r="G85" s="8" t="n">
        <v>1100</v>
      </c>
      <c r="H85" s="8" t="inlineStr">
        <is>
          <t>1,100円～／12/31・1/2・1/3は+200円、1/1は+300円</t>
        </is>
      </c>
      <c r="I85" s="8" t="inlineStr">
        <is>
          <t>対象求人本文</t>
        </is>
      </c>
      <c r="J85" s="8" t="inlineStr">
        <is>
          <t>https://toridoll-job.com/toridoll02/AC0121911288/MDkyujin_d.htm</t>
        </is>
      </c>
      <c r="K85" s="8" t="n">
        <v>1023</v>
      </c>
      <c r="L85" s="8">
        <f>IF(G85="","-",IF(G85&lt;K85,"割れ(旧掲載疑い)","OK"))</f>
        <v/>
      </c>
      <c r="M85" s="8">
        <f>IF(AND(D85&lt;&gt;"",E85&lt;&gt;"",F85&lt;&gt;"",G85&lt;&gt;""),"充足","不足")</f>
        <v/>
      </c>
      <c r="N85" s="8">
        <f>IF(I85="近隣求人欄","未確定(近隣欄からの抽出)",IF(I85="ブランド共通","未確定(店舗非固有)",IF(I85="施設一般","未確定(施設一般値)",IF(I85="店舗非特定","未確定(店舗非特定)",IF(I85="情報源矛盾","未確定(情報源の矛盾)",IF(G85="","取得不能",IF(L85="割れ(旧掲載疑い)","未確定(最低賃金割れ)",IF(M85="不足","未確定(証拠不足)","媒体掲載値"))))))))</f>
        <v/>
      </c>
      <c r="O85" s="8" t="inlineStr">
        <is>
          <t>2026-07-31</t>
        </is>
      </c>
      <c r="P85" s="8" t="inlineStr"/>
    </row>
    <row r="86">
      <c r="A86" s="7" t="n">
        <v>81</v>
      </c>
      <c r="B86" s="7" t="inlineStr">
        <is>
          <t>宮崎阿波岐原店</t>
        </is>
      </c>
      <c r="C86" s="7" t="inlineStr">
        <is>
          <t>うどん・そば</t>
        </is>
      </c>
      <c r="D86" s="7" t="inlineStr">
        <is>
          <t>丸亀製麺 宮崎住吉店</t>
        </is>
      </c>
      <c r="E86" s="7" t="inlineStr">
        <is>
          <t>宮崎県宮崎市住吉</t>
        </is>
      </c>
      <c r="F86" s="7" t="inlineStr">
        <is>
          <t>A91031990530</t>
        </is>
      </c>
      <c r="G86" s="7" t="n">
        <v>1000</v>
      </c>
      <c r="H86" s="7" t="inlineStr">
        <is>
          <t>1,000円～／22時以降25%UP</t>
        </is>
      </c>
      <c r="I86" s="7" t="inlineStr">
        <is>
          <t>対象求人本文</t>
        </is>
      </c>
      <c r="J86" s="7" t="inlineStr">
        <is>
          <t>https://toridoll-job.com/toridoll02/A91031990530/MDkyujin_d.htm</t>
        </is>
      </c>
      <c r="K86" s="7" t="n">
        <v>1023</v>
      </c>
      <c r="L86" s="7">
        <f>IF(G86="","-",IF(G86&lt;K86,"割れ(旧掲載疑い)","OK"))</f>
        <v/>
      </c>
      <c r="M86" s="7">
        <f>IF(AND(D86&lt;&gt;"",E86&lt;&gt;"",F86&lt;&gt;"",G86&lt;&gt;""),"充足","不足")</f>
        <v/>
      </c>
      <c r="N86" s="7">
        <f>IF(I86="近隣求人欄","未確定(近隣欄からの抽出)",IF(I86="ブランド共通","未確定(店舗非固有)",IF(I86="施設一般","未確定(施設一般値)",IF(I86="店舗非特定","未確定(店舗非特定)",IF(I86="情報源矛盾","未確定(情報源の矛盾)",IF(G86="","取得不能",IF(L86="割れ(旧掲載疑い)","未確定(最低賃金割れ)",IF(M86="不足","未確定(証拠不足)","媒体掲載値"))))))))</f>
        <v/>
      </c>
      <c r="O86" s="7" t="inlineStr">
        <is>
          <t>2026-07-31</t>
        </is>
      </c>
      <c r="P86" s="7" t="inlineStr">
        <is>
          <t>★宮崎県最低賃金1,023円を下回る=旧掲載</t>
        </is>
      </c>
    </row>
    <row r="87">
      <c r="A87" s="7" t="n">
        <v>82</v>
      </c>
      <c r="B87" s="7" t="inlineStr">
        <is>
          <t>宮崎阿波岐原店</t>
        </is>
      </c>
      <c r="C87" s="7" t="inlineStr">
        <is>
          <t>うどん・そば</t>
        </is>
      </c>
      <c r="D87" s="7" t="inlineStr">
        <is>
          <t>丸亀製麺 宮崎店</t>
        </is>
      </c>
      <c r="E87" s="7" t="inlineStr">
        <is>
          <t>宮崎県宮崎市</t>
        </is>
      </c>
      <c r="F87" s="7" t="inlineStr">
        <is>
          <t>A10701916440</t>
        </is>
      </c>
      <c r="G87" s="7" t="n">
        <v>950</v>
      </c>
      <c r="H87" s="7" t="inlineStr">
        <is>
          <t>開店準備・仕込みスタッフ 950円～</t>
        </is>
      </c>
      <c r="I87" s="7" t="inlineStr">
        <is>
          <t>対象求人本文</t>
        </is>
      </c>
      <c r="J87" s="7" t="inlineStr">
        <is>
          <t>https://toridoll-job.com/toridoll02/A10701916440/MDkyujin_d.htm</t>
        </is>
      </c>
      <c r="K87" s="7" t="n">
        <v>1023</v>
      </c>
      <c r="L87" s="7">
        <f>IF(G87="","-",IF(G87&lt;K87,"割れ(旧掲載疑い)","OK"))</f>
        <v/>
      </c>
      <c r="M87" s="7">
        <f>IF(AND(D87&lt;&gt;"",E87&lt;&gt;"",F87&lt;&gt;"",G87&lt;&gt;""),"充足","不足")</f>
        <v/>
      </c>
      <c r="N87" s="7">
        <f>IF(I87="近隣求人欄","未確定(近隣欄からの抽出)",IF(I87="ブランド共通","未確定(店舗非固有)",IF(I87="施設一般","未確定(施設一般値)",IF(I87="店舗非特定","未確定(店舗非特定)",IF(I87="情報源矛盾","未確定(情報源の矛盾)",IF(G87="","取得不能",IF(L87="割れ(旧掲載疑い)","未確定(最低賃金割れ)",IF(M87="不足","未確定(証拠不足)","媒体掲載値"))))))))</f>
        <v/>
      </c>
      <c r="O87" s="7" t="inlineStr">
        <is>
          <t>2026-07-31</t>
        </is>
      </c>
      <c r="P87" s="7" t="inlineStr">
        <is>
          <t>★最賃割れ かつ職種限定</t>
        </is>
      </c>
    </row>
    <row r="88">
      <c r="A88" s="7" t="n">
        <v>83</v>
      </c>
      <c r="B88" s="7" t="inlineStr">
        <is>
          <t>宮崎阿波岐原店</t>
        </is>
      </c>
      <c r="C88" s="7" t="inlineStr">
        <is>
          <t>牛丼・定食</t>
        </is>
      </c>
      <c r="D88" s="7" t="inlineStr">
        <is>
          <t>すき家(宮崎市内)</t>
        </is>
      </c>
      <c r="E88" s="7" t="inlineStr"/>
      <c r="F88" s="7" t="inlineStr"/>
      <c r="G88" s="7" t="n">
        <v>1080</v>
      </c>
      <c r="H88" s="7" t="inlineStr">
        <is>
          <t>通常1,080円～／高校生1,023円／深夜1,350円／早朝+150円</t>
        </is>
      </c>
      <c r="I88" s="7" t="inlineStr">
        <is>
          <t>店舗非特定</t>
        </is>
      </c>
      <c r="J88" s="7" t="inlineStr">
        <is>
          <t>https://work.sukiya.jp/brand-jobfind/job/All/32871</t>
        </is>
      </c>
      <c r="K88" s="7" t="n">
        <v>1023</v>
      </c>
      <c r="L88" s="7">
        <f>IF(G88="","-",IF(G88&lt;K88,"割れ(旧掲載疑い)","OK"))</f>
        <v/>
      </c>
      <c r="M88" s="7">
        <f>IF(AND(D88&lt;&gt;"",E88&lt;&gt;"",F88&lt;&gt;"",G88&lt;&gt;""),"充足","不足")</f>
        <v/>
      </c>
      <c r="N88" s="7">
        <f>IF(I88="近隣求人欄","未確定(近隣欄からの抽出)",IF(I88="ブランド共通","未確定(店舗非固有)",IF(I88="施設一般","未確定(施設一般値)",IF(I88="店舗非特定","未確定(店舗非特定)",IF(I88="情報源矛盾","未確定(情報源の矛盾)",IF(G88="","取得不能",IF(L88="割れ(旧掲載疑い)","未確定(最低賃金割れ)",IF(M88="不足","未確定(証拠不足)","媒体掲載値"))))))))</f>
        <v/>
      </c>
      <c r="O88" s="7" t="inlineStr">
        <is>
          <t>2026-07-31</t>
        </is>
      </c>
      <c r="P88" s="7" t="inlineStr">
        <is>
          <t>★新別府店・大島店・郡司分店が混在。特定できない</t>
        </is>
      </c>
    </row>
    <row r="89">
      <c r="A89" s="8" t="n">
        <v>84</v>
      </c>
      <c r="B89" s="8" t="inlineStr">
        <is>
          <t>宮崎阿波岐原店</t>
        </is>
      </c>
      <c r="C89" s="8" t="inlineStr">
        <is>
          <t>ファミレス</t>
        </is>
      </c>
      <c r="D89" s="8" t="inlineStr">
        <is>
          <t>ジョイフル 宮崎田野店</t>
        </is>
      </c>
      <c r="E89" s="8" t="inlineStr">
        <is>
          <t>宮崎県宮崎市田野町</t>
        </is>
      </c>
      <c r="F89" s="8" t="inlineStr">
        <is>
          <t>job-131030808</t>
        </is>
      </c>
      <c r="G89" s="8" t="n">
        <v>1073</v>
      </c>
      <c r="H89" s="8" t="inlineStr">
        <is>
          <t>求人表示 1,073～1,467円／日祝+50円</t>
        </is>
      </c>
      <c r="I89" s="8" t="inlineStr">
        <is>
          <t>対象求人本文</t>
        </is>
      </c>
      <c r="J89" s="8" t="inlineStr">
        <is>
          <t>https://baito.mynavi.jp/cl-002216705350/job-131030808/</t>
        </is>
      </c>
      <c r="K89" s="8" t="n">
        <v>1023</v>
      </c>
      <c r="L89" s="8">
        <f>IF(G89="","-",IF(G89&lt;K89,"割れ(旧掲載疑い)","OK"))</f>
        <v/>
      </c>
      <c r="M89" s="8">
        <f>IF(AND(D89&lt;&gt;"",E89&lt;&gt;"",F89&lt;&gt;"",G89&lt;&gt;""),"充足","不足")</f>
        <v/>
      </c>
      <c r="N89" s="8">
        <f>IF(I89="近隣求人欄","未確定(近隣欄からの抽出)",IF(I89="ブランド共通","未確定(店舗非固有)",IF(I89="施設一般","未確定(施設一般値)",IF(I89="店舗非特定","未確定(店舗非特定)",IF(I89="情報源矛盾","未確定(情報源の矛盾)",IF(G89="","取得不能",IF(L89="割れ(旧掲載疑い)","未確定(最低賃金割れ)",IF(M89="不足","未確定(証拠不足)","媒体掲載値"))))))))</f>
        <v/>
      </c>
      <c r="O89" s="8" t="inlineStr">
        <is>
          <t>2026-07-31</t>
        </is>
      </c>
      <c r="P89" s="8" t="inlineStr">
        <is>
          <t>田野町は市南部。同一商圏か要確認</t>
        </is>
      </c>
    </row>
    <row r="90">
      <c r="A90" s="8" t="n">
        <v>85</v>
      </c>
      <c r="B90" s="8" t="inlineStr">
        <is>
          <t>宮崎阿波岐原店</t>
        </is>
      </c>
      <c r="C90" s="8" t="inlineStr">
        <is>
          <t>ファストフード</t>
        </is>
      </c>
      <c r="D90" s="8" t="inlineStr">
        <is>
          <t>ケンタッキー イオンモール宮崎店</t>
        </is>
      </c>
      <c r="E90" s="8" t="inlineStr">
        <is>
          <t>宮崎県宮崎市(イオンモール宮崎)</t>
        </is>
      </c>
      <c r="F90" s="8" t="inlineStr">
        <is>
          <t>job30211843</t>
        </is>
      </c>
      <c r="G90" s="8" t="n">
        <v>1200</v>
      </c>
      <c r="H90" s="8" t="inlineStr">
        <is>
          <t>一般1,200円(研修1,100円)／高校生1,100円(研修1,023円)</t>
        </is>
      </c>
      <c r="I90" s="8" t="inlineStr">
        <is>
          <t>対象求人本文</t>
        </is>
      </c>
      <c r="J90" s="8" t="inlineStr">
        <is>
          <t>https://www.baitoru.com/kyushu/jlist/miyazaki/miyazakishi/job30211843/</t>
        </is>
      </c>
      <c r="K90" s="8" t="n">
        <v>1023</v>
      </c>
      <c r="L90" s="8">
        <f>IF(G90="","-",IF(G90&lt;K90,"割れ(旧掲載疑い)","OK"))</f>
        <v/>
      </c>
      <c r="M90" s="8">
        <f>IF(AND(D90&lt;&gt;"",E90&lt;&gt;"",F90&lt;&gt;"",G90&lt;&gt;""),"充足","不足")</f>
        <v/>
      </c>
      <c r="N90" s="8">
        <f>IF(I90="近隣求人欄","未確定(近隣欄からの抽出)",IF(I90="ブランド共通","未確定(店舗非固有)",IF(I90="施設一般","未確定(施設一般値)",IF(I90="店舗非特定","未確定(店舗非特定)",IF(I90="情報源矛盾","未確定(情報源の矛盾)",IF(G90="","取得不能",IF(L90="割れ(旧掲載疑い)","未確定(最低賃金割れ)",IF(M90="不足","未確定(証拠不足)","媒体掲載値"))))))))</f>
        <v/>
      </c>
      <c r="O90" s="8" t="inlineStr">
        <is>
          <t>2026-07-31</t>
        </is>
      </c>
      <c r="P90" s="8" t="inlineStr">
        <is>
          <t>阿波岐原に最も近い商業施設内</t>
        </is>
      </c>
    </row>
    <row r="91">
      <c r="A91" s="8" t="n">
        <v>86</v>
      </c>
      <c r="B91" s="8" t="inlineStr">
        <is>
          <t>宮崎阿波岐原店</t>
        </is>
      </c>
      <c r="C91" s="8" t="inlineStr">
        <is>
          <t>ファストフード</t>
        </is>
      </c>
      <c r="D91" s="8" t="inlineStr">
        <is>
          <t>ケンタッキー JR宮崎店</t>
        </is>
      </c>
      <c r="E91" s="8" t="inlineStr">
        <is>
          <t>宮崎県宮崎市</t>
        </is>
      </c>
      <c r="F91" s="8" t="inlineStr">
        <is>
          <t>AE0318522244</t>
        </is>
      </c>
      <c r="G91" s="8" t="n">
        <v>1200</v>
      </c>
      <c r="H91" s="8" t="inlineStr">
        <is>
          <t>1,200円(研修1,100円)／高校生1,100円(研修1,023円)</t>
        </is>
      </c>
      <c r="I91" s="8" t="inlineStr">
        <is>
          <t>対象求人本文</t>
        </is>
      </c>
      <c r="J91" s="8" t="inlineStr">
        <is>
          <t>https://www.e-aidem.com/aps/07_AE0318522244_detail.htm</t>
        </is>
      </c>
      <c r="K91" s="8" t="n">
        <v>1023</v>
      </c>
      <c r="L91" s="8">
        <f>IF(G91="","-",IF(G91&lt;K91,"割れ(旧掲載疑い)","OK"))</f>
        <v/>
      </c>
      <c r="M91" s="8">
        <f>IF(AND(D91&lt;&gt;"",E91&lt;&gt;"",F91&lt;&gt;"",G91&lt;&gt;""),"充足","不足")</f>
        <v/>
      </c>
      <c r="N91" s="8">
        <f>IF(I91="近隣求人欄","未確定(近隣欄からの抽出)",IF(I91="ブランド共通","未確定(店舗非固有)",IF(I91="施設一般","未確定(施設一般値)",IF(I91="店舗非特定","未確定(店舗非特定)",IF(I91="情報源矛盾","未確定(情報源の矛盾)",IF(G91="","取得不能",IF(L91="割れ(旧掲載疑い)","未確定(最低賃金割れ)",IF(M91="不足","未確定(証拠不足)","媒体掲載値"))))))))</f>
        <v/>
      </c>
      <c r="O91" s="8" t="inlineStr">
        <is>
          <t>2026-07-31</t>
        </is>
      </c>
      <c r="P91" s="8" t="inlineStr"/>
    </row>
    <row r="92">
      <c r="A92" s="8" t="n">
        <v>87</v>
      </c>
      <c r="B92" s="8" t="inlineStr">
        <is>
          <t>宮崎阿波岐原店</t>
        </is>
      </c>
      <c r="C92" s="8" t="inlineStr">
        <is>
          <t>ファストフード</t>
        </is>
      </c>
      <c r="D92" s="8" t="inlineStr">
        <is>
          <t>ケンタッキー 宮崎大島町店</t>
        </is>
      </c>
      <c r="E92" s="8" t="inlineStr">
        <is>
          <t>宮崎県宮崎市大島町</t>
        </is>
      </c>
      <c r="F92" s="8" t="inlineStr">
        <is>
          <t>宮崎大島町店</t>
        </is>
      </c>
      <c r="G92" s="8" t="n">
        <v>1200</v>
      </c>
      <c r="H92" s="8" t="inlineStr">
        <is>
          <t>1,200円(研修1ヶ月1,100円)／高校生1,100円(研修1,023円)</t>
        </is>
      </c>
      <c r="I92" s="8" t="inlineStr">
        <is>
          <t>対象求人本文</t>
        </is>
      </c>
      <c r="J92" s="8" t="inlineStr">
        <is>
          <t>https://job-kfc.net/jobfind-pc/area/KyushuOkinawa/Miyazaki/45201</t>
        </is>
      </c>
      <c r="K92" s="8" t="n">
        <v>1023</v>
      </c>
      <c r="L92" s="8">
        <f>IF(G92="","-",IF(G92&lt;K92,"割れ(旧掲載疑い)","OK"))</f>
        <v/>
      </c>
      <c r="M92" s="8">
        <f>IF(AND(D92&lt;&gt;"",E92&lt;&gt;"",F92&lt;&gt;"",G92&lt;&gt;""),"充足","不足")</f>
        <v/>
      </c>
      <c r="N92" s="8">
        <f>IF(I92="近隣求人欄","未確定(近隣欄からの抽出)",IF(I92="ブランド共通","未確定(店舗非固有)",IF(I92="施設一般","未確定(施設一般値)",IF(I92="店舗非特定","未確定(店舗非特定)",IF(I92="情報源矛盾","未確定(情報源の矛盾)",IF(G92="","取得不能",IF(L92="割れ(旧掲載疑い)","未確定(最低賃金割れ)",IF(M92="不足","未確定(証拠不足)","媒体掲載値"))))))))</f>
        <v/>
      </c>
      <c r="O92" s="8" t="inlineStr">
        <is>
          <t>2026-07-31</t>
        </is>
      </c>
      <c r="P92" s="8" t="inlineStr"/>
    </row>
    <row r="93">
      <c r="A93" s="7" t="n">
        <v>88</v>
      </c>
      <c r="B93" s="7" t="inlineStr">
        <is>
          <t>宮崎阿波岐原店</t>
        </is>
      </c>
      <c r="C93" s="7" t="inlineStr">
        <is>
          <t>ファストフード</t>
        </is>
      </c>
      <c r="D93" s="7" t="inlineStr">
        <is>
          <t>ケンタッキー 宮崎高千穂通り店</t>
        </is>
      </c>
      <c r="E93" s="7" t="inlineStr">
        <is>
          <t>宮崎県宮崎市高千穂通り</t>
        </is>
      </c>
      <c r="F93" s="7" t="inlineStr">
        <is>
          <t>宮崎高千穂通り店</t>
        </is>
      </c>
      <c r="G93" s="7" t="n">
        <v>1000</v>
      </c>
      <c r="H93" s="7" t="inlineStr">
        <is>
          <t>1,000円以上</t>
        </is>
      </c>
      <c r="I93" s="7" t="inlineStr">
        <is>
          <t>対象求人本文</t>
        </is>
      </c>
      <c r="J93" s="7" t="inlineStr">
        <is>
          <t>https://job-kfc.net/jobfind-pc/area/KyushuOkinawa/Miyazaki/45201</t>
        </is>
      </c>
      <c r="K93" s="7" t="n">
        <v>1023</v>
      </c>
      <c r="L93" s="7">
        <f>IF(G93="","-",IF(G93&lt;K93,"割れ(旧掲載疑い)","OK"))</f>
        <v/>
      </c>
      <c r="M93" s="7">
        <f>IF(AND(D93&lt;&gt;"",E93&lt;&gt;"",F93&lt;&gt;"",G93&lt;&gt;""),"充足","不足")</f>
        <v/>
      </c>
      <c r="N93" s="7">
        <f>IF(I93="近隣求人欄","未確定(近隣欄からの抽出)",IF(I93="ブランド共通","未確定(店舗非固有)",IF(I93="施設一般","未確定(施設一般値)",IF(I93="店舗非特定","未確定(店舗非特定)",IF(I93="情報源矛盾","未確定(情報源の矛盾)",IF(G93="","取得不能",IF(L93="割れ(旧掲載疑い)","未確定(最低賃金割れ)",IF(M93="不足","未確定(証拠不足)","媒体掲載値"))))))))</f>
        <v/>
      </c>
      <c r="O93" s="7" t="inlineStr">
        <is>
          <t>2026-07-31</t>
        </is>
      </c>
      <c r="P93" s="7" t="inlineStr">
        <is>
          <t>★宮崎県最低賃金1,023円を下回る=旧掲載</t>
        </is>
      </c>
    </row>
    <row r="94">
      <c r="A94" s="7" t="n">
        <v>89</v>
      </c>
      <c r="B94" s="7" t="inlineStr">
        <is>
          <t>宮崎阿波岐原店</t>
        </is>
      </c>
      <c r="C94" s="7" t="inlineStr">
        <is>
          <t>回転寿司</t>
        </is>
      </c>
      <c r="D94" s="7" t="inlineStr">
        <is>
          <t>スシロー 宮崎恒久店</t>
        </is>
      </c>
      <c r="E94" s="7" t="inlineStr">
        <is>
          <t>宮崎県宮崎市恒久</t>
        </is>
      </c>
      <c r="F94" s="7" t="inlineStr">
        <is>
          <t>job/All/759</t>
        </is>
      </c>
      <c r="G94" s="7" t="n">
        <v>1000</v>
      </c>
      <c r="H94" s="7" t="inlineStr">
        <is>
          <t>1,000～1,250円／22時以降1,250円／土日祝UP／高校生研修970円</t>
        </is>
      </c>
      <c r="I94" s="7" t="inlineStr">
        <is>
          <t>対象求人本文</t>
        </is>
      </c>
      <c r="J94" s="7" t="inlineStr">
        <is>
          <t>https://akindo-sushiro-job.net/jobfind-pc/job/All/759</t>
        </is>
      </c>
      <c r="K94" s="7" t="n">
        <v>1023</v>
      </c>
      <c r="L94" s="7">
        <f>IF(G94="","-",IF(G94&lt;K94,"割れ(旧掲載疑い)","OK"))</f>
        <v/>
      </c>
      <c r="M94" s="7">
        <f>IF(AND(D94&lt;&gt;"",E94&lt;&gt;"",F94&lt;&gt;"",G94&lt;&gt;""),"充足","不足")</f>
        <v/>
      </c>
      <c r="N94" s="7">
        <f>IF(I94="近隣求人欄","未確定(近隣欄からの抽出)",IF(I94="ブランド共通","未確定(店舗非固有)",IF(I94="施設一般","未確定(施設一般値)",IF(I94="店舗非特定","未確定(店舗非特定)",IF(I94="情報源矛盾","未確定(情報源の矛盾)",IF(G94="","取得不能",IF(L94="割れ(旧掲載疑い)","未確定(最低賃金割れ)",IF(M94="不足","未確定(証拠不足)","媒体掲載値"))))))))</f>
        <v/>
      </c>
      <c r="O94" s="7" t="inlineStr">
        <is>
          <t>2026-07-31</t>
        </is>
      </c>
      <c r="P94" s="7" t="inlineStr">
        <is>
          <t>★宮崎県最低賃金1,023円を下回る=旧掲載</t>
        </is>
      </c>
    </row>
    <row r="95">
      <c r="A95" s="7" t="n">
        <v>90</v>
      </c>
      <c r="B95" s="7" t="inlineStr">
        <is>
          <t>宮崎阿波岐原店</t>
        </is>
      </c>
      <c r="C95" s="7" t="inlineStr">
        <is>
          <t>回転寿司</t>
        </is>
      </c>
      <c r="D95" s="7" t="inlineStr">
        <is>
          <t>無添くら寿司(宮崎市)</t>
        </is>
      </c>
      <c r="E95" s="7" t="inlineStr"/>
      <c r="F95" s="7" t="inlineStr"/>
      <c r="G95" s="7" t="n">
        <v>1030</v>
      </c>
      <c r="H95" s="7" t="inlineStr">
        <is>
          <t>1,030円～</t>
        </is>
      </c>
      <c r="I95" s="7" t="inlineStr">
        <is>
          <t>店舗非特定</t>
        </is>
      </c>
      <c r="J95" s="7" t="inlineStr">
        <is>
          <t>https://job-gear.net/kurasushisaiyo/A11207267056/CDdetail.htm</t>
        </is>
      </c>
      <c r="K95" s="7" t="n">
        <v>1023</v>
      </c>
      <c r="L95" s="7">
        <f>IF(G95="","-",IF(G95&lt;K95,"割れ(旧掲載疑い)","OK"))</f>
        <v/>
      </c>
      <c r="M95" s="7">
        <f>IF(AND(D95&lt;&gt;"",E95&lt;&gt;"",F95&lt;&gt;"",G95&lt;&gt;""),"充足","不足")</f>
        <v/>
      </c>
      <c r="N95" s="7">
        <f>IF(I95="近隣求人欄","未確定(近隣欄からの抽出)",IF(I95="ブランド共通","未確定(店舗非固有)",IF(I95="施設一般","未確定(施設一般値)",IF(I95="店舗非特定","未確定(店舗非特定)",IF(I95="情報源矛盾","未確定(情報源の矛盾)",IF(G95="","取得不能",IF(L95="割れ(旧掲載疑い)","未確定(最低賃金割れ)",IF(M95="不足","未確定(証拠不足)","媒体掲載値"))))))))</f>
        <v/>
      </c>
      <c r="O95" s="7" t="inlineStr">
        <is>
          <t>2026-07-31</t>
        </is>
      </c>
      <c r="P95" s="7" t="inlineStr">
        <is>
          <t>★宮崎市内のどの店舗か特定できず</t>
        </is>
      </c>
    </row>
    <row r="96">
      <c r="A96" s="7" t="n">
        <v>91</v>
      </c>
      <c r="B96" s="7" t="inlineStr">
        <is>
          <t>宮崎阿波岐原店</t>
        </is>
      </c>
      <c r="C96" s="7" t="inlineStr">
        <is>
          <t>商業施設</t>
        </is>
      </c>
      <c r="D96" s="7" t="inlineStr">
        <is>
          <t>イオンモール宮崎(飲食テナント)</t>
        </is>
      </c>
      <c r="E96" s="7" t="inlineStr">
        <is>
          <t>宮崎県宮崎市新別府町(イオンモール宮崎)</t>
        </is>
      </c>
      <c r="F96" s="7" t="inlineStr"/>
      <c r="G96" s="7" t="n">
        <v>1200</v>
      </c>
      <c r="H96" s="7" t="inlineStr">
        <is>
          <t>施設全体で飲食1,200円～・カフェ960円以上</t>
        </is>
      </c>
      <c r="I96" s="7" t="inlineStr">
        <is>
          <t>施設一般</t>
        </is>
      </c>
      <c r="J96" s="7" t="inlineStr">
        <is>
          <t>https://am-miyazaki-recruit.jp/job/-/info/list</t>
        </is>
      </c>
      <c r="K96" s="7" t="n">
        <v>1023</v>
      </c>
      <c r="L96" s="7">
        <f>IF(G96="","-",IF(G96&lt;K96,"割れ(旧掲載疑い)","OK"))</f>
        <v/>
      </c>
      <c r="M96" s="7">
        <f>IF(AND(D96&lt;&gt;"",E96&lt;&gt;"",F96&lt;&gt;"",G96&lt;&gt;""),"充足","不足")</f>
        <v/>
      </c>
      <c r="N96" s="7">
        <f>IF(I96="近隣求人欄","未確定(近隣欄からの抽出)",IF(I96="ブランド共通","未確定(店舗非固有)",IF(I96="施設一般","未確定(施設一般値)",IF(I96="店舗非特定","未確定(店舗非特定)",IF(I96="情報源矛盾","未確定(情報源の矛盾)",IF(G96="","取得不能",IF(L96="割れ(旧掲載疑い)","未確定(最低賃金割れ)",IF(M96="不足","未確定(証拠不足)","媒体掲載値"))))))))</f>
        <v/>
      </c>
      <c r="O96" s="7" t="inlineStr">
        <is>
          <t>2026-07-31</t>
        </is>
      </c>
      <c r="P96" s="7" t="inlineStr">
        <is>
          <t>★施設全体の一般値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陣山店　周辺時給調査</t>
        </is>
      </c>
    </row>
    <row r="2">
      <c r="A2" s="2" t="inlineStr">
        <is>
          <t>住所：福岡県北九州市八幡西区陣山1-3-33　TEL：093-883-6018　調査商圏：北九州市八幡西区・黒崎エリア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福岡県最低賃金</t>
        </is>
      </c>
      <c r="B5" s="10" t="n">
        <v>1057</v>
      </c>
      <c r="D5" s="7" t="inlineStr">
        <is>
          <t>うどん・そば</t>
        </is>
      </c>
      <c r="E5" s="7" t="inlineStr">
        <is>
          <t>うどんウエスト(八幡西区)</t>
        </is>
      </c>
      <c r="F5" s="7">
        <f>IF(調査台帳!N6="媒体掲載値",調査台帳!G6,"未確定")</f>
        <v/>
      </c>
      <c r="G5" s="7" t="inlineStr">
        <is>
          <t>八幡西区として1,050円～と表示</t>
        </is>
      </c>
      <c r="H5" s="7">
        <f>調査台帳!N6</f>
        <v/>
      </c>
      <c r="I5" s="7" t="inlineStr">
        <is>
          <t>未計測</t>
        </is>
      </c>
      <c r="K5" s="8" t="inlineStr">
        <is>
          <t>ファストフード</t>
        </is>
      </c>
      <c r="L5" s="8" t="inlineStr">
        <is>
          <t>マクドナルド フレスポ黒崎店</t>
        </is>
      </c>
      <c r="M5" s="8">
        <f>IF(調査台帳!N14="媒体掲載値",調査台帳!G14,"未確定")</f>
        <v/>
      </c>
      <c r="N5" s="8" t="inlineStr">
        <is>
          <t>22-5時 25%UP</t>
        </is>
      </c>
      <c r="O5" s="8">
        <f>調査台帳!N14</f>
        <v/>
      </c>
      <c r="P5" s="8" t="inlineStr">
        <is>
          <t>未計測</t>
        </is>
      </c>
    </row>
    <row r="6">
      <c r="A6" s="11" t="inlineStr">
        <is>
          <t>発効日</t>
        </is>
      </c>
      <c r="B6" s="10" t="inlineStr">
        <is>
          <t>2025-11-16</t>
        </is>
      </c>
      <c r="D6" s="7" t="inlineStr"/>
      <c r="E6" s="7" t="inlineStr">
        <is>
          <t>丸亀製麺 八幡本城店</t>
        </is>
      </c>
      <c r="F6" s="7">
        <f>IF(調査台帳!N7="媒体掲載値",調査台帳!G7,"未確定")</f>
        <v/>
      </c>
      <c r="G6" s="7" t="inlineStr">
        <is>
          <t>1,000円～／22時以降25%UP</t>
        </is>
      </c>
      <c r="H6" s="7">
        <f>調査台帳!N7</f>
        <v/>
      </c>
      <c r="I6" s="7" t="inlineStr">
        <is>
          <t>未計測</t>
        </is>
      </c>
      <c r="K6" s="7" t="inlineStr"/>
      <c r="L6" s="7" t="inlineStr">
        <is>
          <t>ケンタッキー イオンタウン黒崎店</t>
        </is>
      </c>
      <c r="M6" s="7">
        <f>IF(調査台帳!N15="媒体掲載値",調査台帳!G15,"未確定")</f>
        <v/>
      </c>
      <c r="N6" s="7" t="inlineStr">
        <is>
          <t>媒体A: 1,200円～(研修100h 1,100円)／高校生1,100円　媒体B: 1,100円(研修1,000円)／高校生1,000円</t>
        </is>
      </c>
      <c r="O6" s="7">
        <f>調査台帳!N15</f>
        <v/>
      </c>
      <c r="P6" s="7" t="inlineStr">
        <is>
          <t>未計測</t>
        </is>
      </c>
    </row>
    <row r="7">
      <c r="D7" s="7" t="inlineStr"/>
      <c r="E7" s="7" t="inlineStr">
        <is>
          <t>牧のうどん(八幡西区)</t>
        </is>
      </c>
      <c r="F7" s="7">
        <f>IF(調査台帳!N8="媒体掲載値",調査台帳!G8,"未確定")</f>
        <v/>
      </c>
      <c r="G7" s="7" t="inlineStr">
        <is>
          <t>求人は福岡市内の店舗のみ(博多バスターミナル1,200円・今宿1,150円・片江1,150円)。北九州市内の店舗を確認できず</t>
        </is>
      </c>
      <c r="H7" s="7">
        <f>調査台帳!N8</f>
        <v/>
      </c>
      <c r="I7" s="7" t="inlineStr">
        <is>
          <t>未計測</t>
        </is>
      </c>
      <c r="K7" s="7" t="inlineStr"/>
      <c r="L7" s="7" t="inlineStr">
        <is>
          <t>モスバーガー(八幡西区3店)</t>
        </is>
      </c>
      <c r="M7" s="7">
        <f>IF(調査台帳!N16="媒体掲載値",調査台帳!G16,"未確定")</f>
        <v/>
      </c>
      <c r="N7" s="7" t="inlineStr">
        <is>
          <t>八幡西区として1,057円以上、18歳以上1,240円～</t>
        </is>
      </c>
      <c r="O7" s="7">
        <f>調査台帳!N16</f>
        <v/>
      </c>
      <c r="P7" s="7" t="inlineStr">
        <is>
          <t>未計測</t>
        </is>
      </c>
    </row>
    <row r="8">
      <c r="A8" s="12" t="inlineStr">
        <is>
          <t>陣山店 現行時給</t>
        </is>
      </c>
      <c r="B8" s="13" t="n">
        <v>1057</v>
      </c>
      <c r="D8" s="8" t="inlineStr">
        <is>
          <t>牛丼・定食</t>
        </is>
      </c>
      <c r="E8" s="8" t="inlineStr">
        <is>
          <t>すき家 3号黒崎店</t>
        </is>
      </c>
      <c r="F8" s="8">
        <f>IF(調査台帳!N9="媒体掲載値",調査台帳!G9,"未確定")</f>
        <v/>
      </c>
      <c r="G8" s="8" t="inlineStr">
        <is>
          <t>求人表示 1,080～1,350円</t>
        </is>
      </c>
      <c r="H8" s="8">
        <f>調査台帳!N9</f>
        <v/>
      </c>
      <c r="I8" s="8" t="inlineStr">
        <is>
          <t>未計測</t>
        </is>
      </c>
      <c r="K8" s="7" t="inlineStr">
        <is>
          <t>ちゃんぽん・麺</t>
        </is>
      </c>
      <c r="L8" s="7" t="inlineStr">
        <is>
          <t>リンガーハット コムシティ黒崎店</t>
        </is>
      </c>
      <c r="M8" s="7">
        <f>IF(調査台帳!N17="媒体掲載値",調査台帳!G17,"未確定")</f>
        <v/>
      </c>
      <c r="N8" s="7" t="inlineStr">
        <is>
          <t>八幡西区のリンガーハットとして1,050円～と表示</t>
        </is>
      </c>
      <c r="O8" s="7">
        <f>調査台帳!N17</f>
        <v/>
      </c>
      <c r="P8" s="7" t="inlineStr">
        <is>
          <t>未計測</t>
        </is>
      </c>
    </row>
    <row r="9">
      <c r="A9" s="14" t="inlineStr">
        <is>
          <t>深夜時給(22-5時)</t>
        </is>
      </c>
      <c r="B9" s="13" t="n">
        <v>1322</v>
      </c>
      <c r="D9" s="8" t="inlineStr"/>
      <c r="E9" s="8" t="inlineStr">
        <is>
          <t>吉野家 3号線黒崎西店</t>
        </is>
      </c>
      <c r="F9" s="8">
        <f>IF(調査台帳!N10="媒体掲載値",調査台帳!G10,"未確定")</f>
        <v/>
      </c>
      <c r="G9" s="8" t="inlineStr">
        <is>
          <t>求人表示 1,060～1,325円</t>
        </is>
      </c>
      <c r="H9" s="8">
        <f>調査台帳!N10</f>
        <v/>
      </c>
      <c r="I9" s="8" t="inlineStr">
        <is>
          <t>未計測</t>
        </is>
      </c>
      <c r="K9" s="7" t="inlineStr">
        <is>
          <t>回転寿司</t>
        </is>
      </c>
      <c r="L9" s="7" t="inlineStr">
        <is>
          <t>スシロー 八幡黒崎店</t>
        </is>
      </c>
      <c r="M9" s="7">
        <f>IF(調査台帳!N18="媒体掲載値",調査台帳!G18,"未確定")</f>
        <v/>
      </c>
      <c r="N9" s="7" t="inlineStr">
        <is>
          <t>一般1,030円／22時以降1,288円／高校生1,000円／土日祝+50円／研修60h 992円</t>
        </is>
      </c>
      <c r="O9" s="7">
        <f>調査台帳!N18</f>
        <v/>
      </c>
      <c r="P9" s="7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8" t="inlineStr"/>
      <c r="E10" s="8" t="inlineStr">
        <is>
          <t>松屋(黒崎)</t>
        </is>
      </c>
      <c r="F10" s="8">
        <f>IF(調査台帳!N11="媒体掲載値",調査台帳!G11,"未確定")</f>
        <v/>
      </c>
      <c r="G10" s="8" t="inlineStr">
        <is>
          <t>店舗別の掲載を取得できず</t>
        </is>
      </c>
      <c r="H10" s="8">
        <f>調査台帳!N11</f>
        <v/>
      </c>
      <c r="I10" s="8" t="inlineStr">
        <is>
          <t>未計測</t>
        </is>
      </c>
      <c r="K10" s="8" t="inlineStr"/>
      <c r="L10" s="8" t="inlineStr">
        <is>
          <t>はま寿司 イオンタウン黒崎店</t>
        </is>
      </c>
      <c r="M10" s="8">
        <f>IF(調査台帳!N19="媒体掲載値",調査台帳!G19,"未確定")</f>
        <v/>
      </c>
      <c r="N10" s="8" t="inlineStr">
        <is>
          <t>22時以降1,375円／土+70円・日祝+100円／高校生1,070円</t>
        </is>
      </c>
      <c r="O10" s="8">
        <f>調査台帳!N19</f>
        <v/>
      </c>
      <c r="P10" s="8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  <c r="D11" s="8" t="inlineStr">
        <is>
          <t>ファミレス</t>
        </is>
      </c>
      <c r="E11" s="8" t="inlineStr">
        <is>
          <t>ジョイフル 北九州黒崎店</t>
        </is>
      </c>
      <c r="F11" s="8">
        <f>IF(調査台帳!N12="媒体掲載値",調査台帳!G12,"未確定")</f>
        <v/>
      </c>
      <c r="G11" s="8" t="inlineStr">
        <is>
          <t>9-15時 1,200円／15-22時 1,107円／22-5時 1,564円／5-9時 1,551円／高校生 1,107円</t>
        </is>
      </c>
      <c r="H11" s="8">
        <f>調査台帳!N12</f>
        <v/>
      </c>
      <c r="I11" s="8" t="inlineStr">
        <is>
          <t>未計測</t>
        </is>
      </c>
      <c r="K11" s="7" t="inlineStr"/>
      <c r="L11" s="7" t="inlineStr">
        <is>
          <t>くら寿司(八幡西区)</t>
        </is>
      </c>
      <c r="M11" s="7">
        <f>IF(調査台帳!N20="媒体掲載値",調査台帳!G20,"未確定")</f>
        <v/>
      </c>
      <c r="N11" s="7" t="inlineStr">
        <is>
          <t>1,000～1,313円または1,100円～。折尾駅徒歩12分と記載</t>
        </is>
      </c>
      <c r="O11" s="7">
        <f>調査台帳!N20</f>
        <v/>
      </c>
      <c r="P11" s="7" t="inlineStr">
        <is>
          <t>未計測</t>
        </is>
      </c>
    </row>
    <row r="12">
      <c r="A12" s="14" t="inlineStr">
        <is>
          <t>最低賃金との差</t>
        </is>
      </c>
      <c r="B12" s="13">
        <f>B8-B5</f>
        <v/>
      </c>
      <c r="D12" s="7" t="inlineStr"/>
      <c r="E12" s="7" t="inlineStr">
        <is>
          <t>ガスト イオンタウン黒崎店</t>
        </is>
      </c>
      <c r="F12" s="7">
        <f>IF(調査台帳!N13="媒体掲載値",調査台帳!G13,"未確定")</f>
        <v/>
      </c>
      <c r="G12" s="7" t="inlineStr">
        <is>
          <t>福岡県内共通レンジ 1,240～1,428円(深夜割増込み)のみ取得</t>
        </is>
      </c>
      <c r="H12" s="7">
        <f>調査台帳!N13</f>
        <v/>
      </c>
      <c r="I12" s="7" t="inlineStr">
        <is>
          <t>未計測</t>
        </is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</row>
    <row r="14">
      <c r="D14" s="15" t="inlineStr">
        <is>
          <t>周辺相場（証明レベルが通った値のみで集計・対象15件中）</t>
        </is>
      </c>
    </row>
    <row r="15">
      <c r="D15" s="16" t="inlineStr">
        <is>
          <t>採用できた件数</t>
        </is>
      </c>
      <c r="E15" s="10">
        <f>COUNT(F5:F12,M5:M11)</f>
        <v/>
      </c>
    </row>
    <row r="16">
      <c r="D16" s="16" t="inlineStr">
        <is>
          <t>最安</t>
        </is>
      </c>
      <c r="E16" s="10">
        <f>IF(COUNT(F5:F12,M5:M11)=0,"-",MIN(F5:F12,M5:M11))</f>
        <v/>
      </c>
    </row>
    <row r="17">
      <c r="D17" s="16" t="inlineStr">
        <is>
          <t>中央値</t>
        </is>
      </c>
      <c r="E17" s="10">
        <f>IF(COUNT(F5:F12,M5:M11)=0,"-",MEDIAN(F5:F12,M5:M11))</f>
        <v/>
      </c>
    </row>
    <row r="18">
      <c r="D18" s="16" t="inlineStr">
        <is>
          <t>最高</t>
        </is>
      </c>
      <c r="E18" s="10">
        <f>IF(COUNT(F5:F12,M5:M11)=0,"-",MAX(F5:F12,M5:M11))</f>
        <v/>
      </c>
    </row>
    <row r="19">
      <c r="D19" s="16" t="inlineStr">
        <is>
          <t>自社と中央値の差</t>
        </is>
      </c>
      <c r="E19" s="10">
        <f>IF(COUNT(F5:F12,M5:M11)=0,"-",$B$8-MEDIAN(F5:F12,M5:M11))</f>
        <v/>
      </c>
    </row>
    <row r="20">
      <c r="D20" s="16" t="inlineStr">
        <is>
          <t>自社と最安の差</t>
        </is>
      </c>
      <c r="E20" s="10">
        <f>IF(COUNT(F5:F12,M5:M11)=0,"-",$B$8-MIN(F5:F12,M5:M11))</f>
        <v/>
      </c>
    </row>
    <row r="22">
      <c r="D22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3">
      <c r="D23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新池店　周辺時給調査</t>
        </is>
      </c>
    </row>
    <row r="2">
      <c r="A2" s="2" t="inlineStr">
        <is>
          <t>住所：福岡県北九州市戸畑区新池3-12-3　TEL：093-616-8024　調査商圏：北九州市戸畑区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福岡県最低賃金</t>
        </is>
      </c>
      <c r="B5" s="10" t="n">
        <v>1057</v>
      </c>
      <c r="D5" s="7" t="inlineStr">
        <is>
          <t>うどん・そば</t>
        </is>
      </c>
      <c r="E5" s="7" t="inlineStr">
        <is>
          <t>うどんウエスト 戸畑店</t>
        </is>
      </c>
      <c r="F5" s="7">
        <f>IF(調査台帳!N21="媒体掲載値",調査台帳!G21,"未確定")</f>
        <v/>
      </c>
      <c r="G5" s="7" t="inlineStr">
        <is>
          <t>1,050～1,313円／22時以降1,313円以上</t>
        </is>
      </c>
      <c r="H5" s="7">
        <f>調査台帳!N21</f>
        <v/>
      </c>
      <c r="I5" s="7" t="inlineStr">
        <is>
          <t>未計測</t>
        </is>
      </c>
      <c r="K5" s="7" t="inlineStr">
        <is>
          <t>ファストフード</t>
        </is>
      </c>
      <c r="L5" s="7" t="inlineStr">
        <is>
          <t>マクドナルド イオン戸畑SC店</t>
        </is>
      </c>
      <c r="M5" s="7">
        <f>IF(調査台帳!N29="媒体掲載値",調査台帳!G29,"未確定")</f>
        <v/>
      </c>
      <c r="N5" s="7" t="inlineStr">
        <is>
          <t>媒体A: 高校生1,057円～／22-5時25%UP　媒体B: 時給900円</t>
        </is>
      </c>
      <c r="O5" s="7">
        <f>調査台帳!N29</f>
        <v/>
      </c>
      <c r="P5" s="7" t="inlineStr">
        <is>
          <t>未計測</t>
        </is>
      </c>
    </row>
    <row r="6">
      <c r="A6" s="11" t="inlineStr">
        <is>
          <t>発効日</t>
        </is>
      </c>
      <c r="B6" s="10" t="inlineStr">
        <is>
          <t>2025-11-16</t>
        </is>
      </c>
      <c r="D6" s="8" t="inlineStr"/>
      <c r="E6" s="8" t="inlineStr">
        <is>
          <t>丸亀製麺(戸畑周辺)</t>
        </is>
      </c>
      <c r="F6" s="8">
        <f>IF(調査台帳!N22="媒体掲載値",調査台帳!G22,"未確定")</f>
        <v/>
      </c>
      <c r="G6" s="8" t="inlineStr">
        <is>
          <t>店舗別の掲載を取得できず</t>
        </is>
      </c>
      <c r="H6" s="8">
        <f>調査台帳!N22</f>
        <v/>
      </c>
      <c r="I6" s="8" t="inlineStr">
        <is>
          <t>未計測</t>
        </is>
      </c>
      <c r="K6" s="8" t="inlineStr"/>
      <c r="L6" s="8" t="inlineStr">
        <is>
          <t>ケンタッキー イオン戸畑</t>
        </is>
      </c>
      <c r="M6" s="8">
        <f>IF(調査台帳!N30="媒体掲載値",調査台帳!G30,"未確定")</f>
        <v/>
      </c>
      <c r="N6" s="8" t="inlineStr">
        <is>
          <t>店舗別の掲載を取得できず</t>
        </is>
      </c>
      <c r="O6" s="8">
        <f>調査台帳!N30</f>
        <v/>
      </c>
      <c r="P6" s="8" t="inlineStr">
        <is>
          <t>未計測</t>
        </is>
      </c>
    </row>
    <row r="7">
      <c r="D7" s="8" t="inlineStr">
        <is>
          <t>牛丼・定食</t>
        </is>
      </c>
      <c r="E7" s="8" t="inlineStr">
        <is>
          <t>すき家(戸畑区)</t>
        </is>
      </c>
      <c r="F7" s="8">
        <f>IF(調査台帳!N23="媒体掲載値",調査台帳!G23,"未確定")</f>
        <v/>
      </c>
      <c r="G7" s="8" t="inlineStr">
        <is>
          <t>戸畑区の店舗別掲載を取得できず</t>
        </is>
      </c>
      <c r="H7" s="8">
        <f>調査台帳!N23</f>
        <v/>
      </c>
      <c r="I7" s="8" t="inlineStr">
        <is>
          <t>未計測</t>
        </is>
      </c>
      <c r="K7" s="7" t="inlineStr">
        <is>
          <t>ちゃんぽん・麺</t>
        </is>
      </c>
      <c r="L7" s="7" t="inlineStr">
        <is>
          <t>リンガーハット(北九州市)</t>
        </is>
      </c>
      <c r="M7" s="7">
        <f>IF(調査台帳!N31="媒体掲載値",調査台帳!G31,"未確定")</f>
        <v/>
      </c>
      <c r="N7" s="7" t="inlineStr">
        <is>
          <t>北九州市として1,050円／深夜1,313円／高校生1,050円</t>
        </is>
      </c>
      <c r="O7" s="7">
        <f>調査台帳!N31</f>
        <v/>
      </c>
      <c r="P7" s="7" t="inlineStr">
        <is>
          <t>未計測</t>
        </is>
      </c>
    </row>
    <row r="8">
      <c r="A8" s="12" t="inlineStr">
        <is>
          <t>新池店 現行時給</t>
        </is>
      </c>
      <c r="B8" s="13" t="n">
        <v>1057</v>
      </c>
      <c r="D8" s="7" t="inlineStr"/>
      <c r="E8" s="7" t="inlineStr">
        <is>
          <t>吉野家(北九州市)</t>
        </is>
      </c>
      <c r="F8" s="7">
        <f>IF(調査台帳!N24="媒体掲載値",調査台帳!G24,"未確定")</f>
        <v/>
      </c>
      <c r="G8" s="7" t="inlineStr">
        <is>
          <t>北九州市として1,057円以上／別掲載で一般・高校生1,050円、22時以降25%UP</t>
        </is>
      </c>
      <c r="H8" s="7">
        <f>調査台帳!N24</f>
        <v/>
      </c>
      <c r="I8" s="7" t="inlineStr">
        <is>
          <t>未計測</t>
        </is>
      </c>
      <c r="K8" s="8" t="inlineStr">
        <is>
          <t>回転寿司</t>
        </is>
      </c>
      <c r="L8" s="8" t="inlineStr">
        <is>
          <t>スシロー 戸畑鞘ヶ谷店</t>
        </is>
      </c>
      <c r="M8" s="8">
        <f>IF(調査台帳!N32="媒体掲載値",調査台帳!G32,"未確定")</f>
        <v/>
      </c>
      <c r="N8" s="8" t="inlineStr">
        <is>
          <t>求人表示 1,100～1,425円</t>
        </is>
      </c>
      <c r="O8" s="8">
        <f>調査台帳!N32</f>
        <v/>
      </c>
      <c r="P8" s="8" t="inlineStr">
        <is>
          <t>未計測</t>
        </is>
      </c>
    </row>
    <row r="9">
      <c r="A9" s="14" t="inlineStr">
        <is>
          <t>深夜時給(22-5時)</t>
        </is>
      </c>
      <c r="B9" s="13" t="n">
        <v>1322</v>
      </c>
      <c r="D9" s="7" t="inlineStr">
        <is>
          <t>ファミレス</t>
        </is>
      </c>
      <c r="E9" s="7" t="inlineStr">
        <is>
          <t>ジョイフル(戸畑区)</t>
        </is>
      </c>
      <c r="F9" s="7">
        <f>IF(調査台帳!N25="媒体掲載値",調査台帳!G25,"未確定")</f>
        <v/>
      </c>
      <c r="G9" s="7" t="inlineStr">
        <is>
          <t>検索で並んだのは本城店・小倉熊本店。いずれも戸畑区外</t>
        </is>
      </c>
      <c r="H9" s="7">
        <f>調査台帳!N25</f>
        <v/>
      </c>
      <c r="I9" s="7" t="inlineStr">
        <is>
          <t>未計測</t>
        </is>
      </c>
      <c r="K9" s="8" t="inlineStr"/>
      <c r="L9" s="8" t="inlineStr">
        <is>
          <t>はま寿司(戸畑)</t>
        </is>
      </c>
      <c r="M9" s="8">
        <f>IF(調査台帳!N33="媒体掲載値",調査台帳!G33,"未確定")</f>
        <v/>
      </c>
      <c r="N9" s="8" t="inlineStr">
        <is>
          <t>戸畑区の店舗別掲載を取得できず</t>
        </is>
      </c>
      <c r="O9" s="8">
        <f>調査台帳!N33</f>
        <v/>
      </c>
      <c r="P9" s="8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8" t="inlineStr">
        <is>
          <t>ファミレス(市内参考)</t>
        </is>
      </c>
      <c r="E10" s="8" t="inlineStr">
        <is>
          <t>ジョイフル 本城店(八幡西区)</t>
        </is>
      </c>
      <c r="F10" s="8">
        <f>IF(調査台帳!N26="媒体掲載値",調査台帳!G26,"未確定")</f>
        <v/>
      </c>
      <c r="G10" s="8" t="inlineStr">
        <is>
          <t>9-15時 1,151円／15-22時 1,107円／22-5時 1,564円／5-9時 1,551円／高校生 1,107円</t>
        </is>
      </c>
      <c r="H10" s="8">
        <f>調査台帳!N26</f>
        <v/>
      </c>
      <c r="I10" s="8" t="inlineStr">
        <is>
          <t>未計測</t>
        </is>
      </c>
      <c r="K10" s="7" t="inlineStr"/>
      <c r="L10" s="7" t="inlineStr">
        <is>
          <t>くら寿司(小倉北区)</t>
        </is>
      </c>
      <c r="M10" s="7">
        <f>IF(調査台帳!N34="媒体掲載値",調査台帳!G34,"未確定")</f>
        <v/>
      </c>
      <c r="N10" s="7" t="inlineStr">
        <is>
          <t>1,030円以上／高校生1,000円以上／閉店作業1,030～1,288円</t>
        </is>
      </c>
      <c r="O10" s="7">
        <f>調査台帳!N34</f>
        <v/>
      </c>
      <c r="P10" s="7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  <c r="D11" s="7" t="inlineStr"/>
      <c r="E11" s="7" t="inlineStr">
        <is>
          <t>ジョイフル 小倉熊本店(小倉北区)</t>
        </is>
      </c>
      <c r="F11" s="7">
        <f>IF(調査台帳!N27="媒体掲載値",調査台帳!G27,"未確定")</f>
        <v/>
      </c>
      <c r="G11" s="7" t="inlineStr">
        <is>
          <t>15-18時 1,042円</t>
        </is>
      </c>
      <c r="H11" s="7">
        <f>調査台帳!N27</f>
        <v/>
      </c>
      <c r="I11" s="7" t="inlineStr">
        <is>
          <t>未計測</t>
        </is>
      </c>
      <c r="K11" s="8" t="inlineStr">
        <is>
          <t>商業施設</t>
        </is>
      </c>
      <c r="L11" s="8" t="inlineStr">
        <is>
          <t>ミスタードーナツ イオン戸畑店</t>
        </is>
      </c>
      <c r="M11" s="8">
        <f>IF(調査台帳!N35="媒体掲載値",調査台帳!G35,"未確定")</f>
        <v/>
      </c>
      <c r="N11" s="8" t="inlineStr">
        <is>
          <t>時給の記載を取得できず</t>
        </is>
      </c>
      <c r="O11" s="8">
        <f>調査台帳!N35</f>
        <v/>
      </c>
      <c r="P11" s="8" t="inlineStr">
        <is>
          <t>未計測</t>
        </is>
      </c>
    </row>
    <row r="12">
      <c r="A12" s="14" t="inlineStr">
        <is>
          <t>最低賃金との差</t>
        </is>
      </c>
      <c r="B12" s="13">
        <f>B8-B5</f>
        <v/>
      </c>
      <c r="D12" s="8" t="inlineStr">
        <is>
          <t>ファストフード</t>
        </is>
      </c>
      <c r="E12" s="8" t="inlineStr">
        <is>
          <t>マクドナルド 戸畑夜宮店</t>
        </is>
      </c>
      <c r="F12" s="8">
        <f>IF(調査台帳!N28="媒体掲載値",調査台帳!G28,"未確定")</f>
        <v/>
      </c>
      <c r="G12" s="8" t="inlineStr">
        <is>
          <t>22-5時 25%UP</t>
        </is>
      </c>
      <c r="H12" s="8">
        <f>調査台帳!N28</f>
        <v/>
      </c>
      <c r="I12" s="8" t="inlineStr">
        <is>
          <t>未計測</t>
        </is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</row>
    <row r="14">
      <c r="D14" s="15" t="inlineStr">
        <is>
          <t>周辺相場（証明レベルが通った値のみで集計・対象15件中）</t>
        </is>
      </c>
    </row>
    <row r="15">
      <c r="D15" s="16" t="inlineStr">
        <is>
          <t>採用できた件数</t>
        </is>
      </c>
      <c r="E15" s="10">
        <f>COUNT(F5:F12,M5:M11)</f>
        <v/>
      </c>
    </row>
    <row r="16">
      <c r="D16" s="16" t="inlineStr">
        <is>
          <t>最安</t>
        </is>
      </c>
      <c r="E16" s="10">
        <f>IF(COUNT(F5:F12,M5:M11)=0,"-",MIN(F5:F12,M5:M11))</f>
        <v/>
      </c>
    </row>
    <row r="17">
      <c r="D17" s="16" t="inlineStr">
        <is>
          <t>中央値</t>
        </is>
      </c>
      <c r="E17" s="10">
        <f>IF(COUNT(F5:F12,M5:M11)=0,"-",MEDIAN(F5:F12,M5:M11))</f>
        <v/>
      </c>
    </row>
    <row r="18">
      <c r="D18" s="16" t="inlineStr">
        <is>
          <t>最高</t>
        </is>
      </c>
      <c r="E18" s="10">
        <f>IF(COUNT(F5:F12,M5:M11)=0,"-",MAX(F5:F12,M5:M11))</f>
        <v/>
      </c>
    </row>
    <row r="19">
      <c r="D19" s="16" t="inlineStr">
        <is>
          <t>自社と中央値の差</t>
        </is>
      </c>
      <c r="E19" s="10">
        <f>IF(COUNT(F5:F12,M5:M11)=0,"-",$B$8-MEDIAN(F5:F12,M5:M11))</f>
        <v/>
      </c>
    </row>
    <row r="20">
      <c r="D20" s="16" t="inlineStr">
        <is>
          <t>自社と最安の差</t>
        </is>
      </c>
      <c r="E20" s="10">
        <f>IF(COUNT(F5:F12,M5:M11)=0,"-",$B$8-MIN(F5:F12,M5:M11))</f>
        <v/>
      </c>
    </row>
    <row r="22">
      <c r="D22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3">
      <c r="D23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宗像店　周辺時給調査</t>
        </is>
      </c>
    </row>
    <row r="2">
      <c r="A2" s="2" t="inlineStr">
        <is>
          <t>住所：福岡県宗像市稲元2-4-8　TEL：0940-34-1177　調査商圏：福岡県宗像市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福岡県最低賃金</t>
        </is>
      </c>
      <c r="B5" s="10" t="n">
        <v>1057</v>
      </c>
      <c r="D5" s="7" t="inlineStr">
        <is>
          <t>うどん・そば</t>
        </is>
      </c>
      <c r="E5" s="7" t="inlineStr">
        <is>
          <t>うどんウエスト 宗像店</t>
        </is>
      </c>
      <c r="F5" s="7">
        <f>IF(調査台帳!N36="媒体掲載値",調査台帳!G36,"未確定")</f>
        <v/>
      </c>
      <c r="G5" s="7" t="inlineStr">
        <is>
          <t>1,000～1,250円／22時以降1,250円以上</t>
        </is>
      </c>
      <c r="H5" s="7">
        <f>調査台帳!N36</f>
        <v/>
      </c>
      <c r="I5" s="7" t="inlineStr">
        <is>
          <t>未計測</t>
        </is>
      </c>
      <c r="K5" s="7" t="inlineStr">
        <is>
          <t>ファストフード</t>
        </is>
      </c>
      <c r="L5" s="7" t="inlineStr">
        <is>
          <t>マクドナルド 宗像ミスターマックス店</t>
        </is>
      </c>
      <c r="M5" s="7">
        <f>IF(調査台帳!N42="媒体掲載値",調査台帳!G42,"未確定")</f>
        <v/>
      </c>
      <c r="N5" s="7" t="inlineStr">
        <is>
          <t>992～1,250円／高校生992円～／22-5時25%UP</t>
        </is>
      </c>
      <c r="O5" s="7">
        <f>調査台帳!N42</f>
        <v/>
      </c>
      <c r="P5" s="7" t="inlineStr">
        <is>
          <t>未計測</t>
        </is>
      </c>
    </row>
    <row r="6">
      <c r="A6" s="11" t="inlineStr">
        <is>
          <t>発効日</t>
        </is>
      </c>
      <c r="B6" s="10" t="inlineStr">
        <is>
          <t>2025-11-16</t>
        </is>
      </c>
      <c r="D6" s="8" t="inlineStr"/>
      <c r="E6" s="8" t="inlineStr">
        <is>
          <t>丸亀製麺(宗像周辺)</t>
        </is>
      </c>
      <c r="F6" s="8">
        <f>IF(調査台帳!N37="媒体掲載値",調査台帳!G37,"未確定")</f>
        <v/>
      </c>
      <c r="G6" s="8" t="inlineStr">
        <is>
          <t>店舗別の掲載を取得できず</t>
        </is>
      </c>
      <c r="H6" s="8">
        <f>調査台帳!N37</f>
        <v/>
      </c>
      <c r="I6" s="8" t="inlineStr">
        <is>
          <t>未計測</t>
        </is>
      </c>
      <c r="K6" s="8" t="inlineStr"/>
      <c r="L6" s="8" t="inlineStr">
        <is>
          <t>ケンタッキー サンリブくりえいと宗像店</t>
        </is>
      </c>
      <c r="M6" s="8">
        <f>IF(調査台帳!N43="媒体掲載値",調査台帳!G43,"未確定")</f>
        <v/>
      </c>
      <c r="N6" s="8" t="inlineStr">
        <is>
          <t>1,150円以上</t>
        </is>
      </c>
      <c r="O6" s="8">
        <f>調査台帳!N43</f>
        <v/>
      </c>
      <c r="P6" s="8" t="inlineStr">
        <is>
          <t>未計測</t>
        </is>
      </c>
    </row>
    <row r="7">
      <c r="D7" s="8" t="inlineStr">
        <is>
          <t>牛丼・定食</t>
        </is>
      </c>
      <c r="E7" s="8" t="inlineStr">
        <is>
          <t>すき家 宗像赤間店</t>
        </is>
      </c>
      <c r="F7" s="8">
        <f>IF(調査台帳!N38="媒体掲載値",調査台帳!G38,"未確定")</f>
        <v/>
      </c>
      <c r="G7" s="8" t="inlineStr">
        <is>
          <t>1,070～1,338円／深夜1,338円／高校生1,060円／早朝(5-9時)+150円</t>
        </is>
      </c>
      <c r="H7" s="8">
        <f>調査台帳!N38</f>
        <v/>
      </c>
      <c r="I7" s="8" t="inlineStr">
        <is>
          <t>未計測</t>
        </is>
      </c>
      <c r="K7" s="7" t="inlineStr">
        <is>
          <t>ちゃんぽん・麺</t>
        </is>
      </c>
      <c r="L7" s="7" t="inlineStr">
        <is>
          <t>リンガーハット くりえいと宗像店</t>
        </is>
      </c>
      <c r="M7" s="7">
        <f>IF(調査台帳!N44="媒体掲載値",調査台帳!G44,"未確定")</f>
        <v/>
      </c>
      <c r="N7" s="7" t="inlineStr">
        <is>
          <t>1,000円～／22時以降25%UP</t>
        </is>
      </c>
      <c r="O7" s="7">
        <f>調査台帳!N44</f>
        <v/>
      </c>
      <c r="P7" s="7" t="inlineStr">
        <is>
          <t>未計測</t>
        </is>
      </c>
    </row>
    <row r="8">
      <c r="A8" s="12" t="inlineStr">
        <is>
          <t>宗像店 現行時給</t>
        </is>
      </c>
      <c r="B8" s="13" t="n">
        <v>1057</v>
      </c>
      <c r="D8" s="7" t="inlineStr"/>
      <c r="E8" s="7" t="inlineStr">
        <is>
          <t>吉野家 3号線宗像店</t>
        </is>
      </c>
      <c r="F8" s="7">
        <f>IF(調査台帳!N39="媒体掲載値",調査台帳!G39,"未確定")</f>
        <v/>
      </c>
      <c r="G8" s="7" t="inlineStr">
        <is>
          <t>求人表示 1,000～1,250円</t>
        </is>
      </c>
      <c r="H8" s="7">
        <f>調査台帳!N39</f>
        <v/>
      </c>
      <c r="I8" s="7" t="inlineStr">
        <is>
          <t>未計測</t>
        </is>
      </c>
      <c r="K8" s="8" t="inlineStr">
        <is>
          <t>回転寿司</t>
        </is>
      </c>
      <c r="L8" s="8" t="inlineStr">
        <is>
          <t>スシロー 宗像光岡店</t>
        </is>
      </c>
      <c r="M8" s="8">
        <f>IF(調査台帳!N45="媒体掲載値",調査台帳!G45,"未確定")</f>
        <v/>
      </c>
      <c r="N8" s="8" t="inlineStr">
        <is>
          <t>1,100円～/1,100～1,425円</t>
        </is>
      </c>
      <c r="O8" s="8">
        <f>調査台帳!N45</f>
        <v/>
      </c>
      <c r="P8" s="8" t="inlineStr">
        <is>
          <t>未計測</t>
        </is>
      </c>
    </row>
    <row r="9">
      <c r="A9" s="14" t="inlineStr">
        <is>
          <t>深夜時給(22-5時)</t>
        </is>
      </c>
      <c r="B9" s="13" t="n">
        <v>1322</v>
      </c>
      <c r="D9" s="8" t="inlineStr">
        <is>
          <t>ファミレス</t>
        </is>
      </c>
      <c r="E9" s="8" t="inlineStr">
        <is>
          <t>ジョイフル 宗像徳重店</t>
        </is>
      </c>
      <c r="F9" s="8">
        <f>IF(調査台帳!N40="媒体掲載値",調査台帳!G40,"未確定")</f>
        <v/>
      </c>
      <c r="G9" s="8" t="inlineStr">
        <is>
          <t>9:00-15:00 の時給</t>
        </is>
      </c>
      <c r="H9" s="8">
        <f>調査台帳!N40</f>
        <v/>
      </c>
      <c r="I9" s="8" t="inlineStr">
        <is>
          <t>未計測</t>
        </is>
      </c>
      <c r="K9" s="8" t="inlineStr"/>
      <c r="L9" s="8" t="inlineStr">
        <is>
          <t>無添くら寿司 宗像店</t>
        </is>
      </c>
      <c r="M9" s="8">
        <f>IF(調査台帳!N46="媒体掲載値",調査台帳!G46,"未確定")</f>
        <v/>
      </c>
      <c r="N9" s="8" t="inlineStr">
        <is>
          <t>パート1,060円以上／高校生1,057円以上／学生1,057～1,321円／ラスト1,120～1,400円／土日祝+30円／深夜25%UP</t>
        </is>
      </c>
      <c r="O9" s="8">
        <f>調査台帳!N46</f>
        <v/>
      </c>
      <c r="P9" s="8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7" t="inlineStr">
        <is>
          <t>ファストフード</t>
        </is>
      </c>
      <c r="E10" s="7" t="inlineStr">
        <is>
          <t>マクドナルド 宗像サンリブ店</t>
        </is>
      </c>
      <c r="F10" s="7">
        <f>IF(調査台帳!N41="媒体掲載値",調査台帳!G41,"未確定")</f>
        <v/>
      </c>
      <c r="G10" s="7" t="inlineStr">
        <is>
          <t>1,000円以上</t>
        </is>
      </c>
      <c r="H10" s="7">
        <f>調査台帳!N41</f>
        <v/>
      </c>
      <c r="I10" s="7" t="inlineStr">
        <is>
          <t>未計測</t>
        </is>
      </c>
      <c r="K10" s="7" t="inlineStr">
        <is>
          <t>商業施設</t>
        </is>
      </c>
      <c r="L10" s="7" t="inlineStr">
        <is>
          <t>サーティワンアイスクリーム くりえいと宗像店</t>
        </is>
      </c>
      <c r="M10" s="7">
        <f>IF(調査台帳!N47="媒体掲載値",調査台帳!G47,"未確定")</f>
        <v/>
      </c>
      <c r="N10" s="7" t="inlineStr">
        <is>
          <t>確認時点で募集なし(公式求人サイトに掲載なし)</t>
        </is>
      </c>
      <c r="O10" s="7">
        <f>調査台帳!N47</f>
        <v/>
      </c>
      <c r="P10" s="7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</row>
    <row r="12">
      <c r="A12" s="14" t="inlineStr">
        <is>
          <t>最低賃金との差</t>
        </is>
      </c>
      <c r="B12" s="13">
        <f>B8-B5</f>
        <v/>
      </c>
      <c r="D12" s="15" t="inlineStr">
        <is>
          <t>周辺相場（証明レベルが通った値のみで集計・対象12件中）</t>
        </is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  <c r="D13" s="16" t="inlineStr">
        <is>
          <t>採用できた件数</t>
        </is>
      </c>
      <c r="E13" s="10">
        <f>COUNT(F5:F10,M5:M10)</f>
        <v/>
      </c>
    </row>
    <row r="14">
      <c r="D14" s="16" t="inlineStr">
        <is>
          <t>最安</t>
        </is>
      </c>
      <c r="E14" s="10">
        <f>IF(COUNT(F5:F10,M5:M10)=0,"-",MIN(F5:F10,M5:M10))</f>
        <v/>
      </c>
    </row>
    <row r="15">
      <c r="D15" s="16" t="inlineStr">
        <is>
          <t>中央値</t>
        </is>
      </c>
      <c r="E15" s="10">
        <f>IF(COUNT(F5:F10,M5:M10)=0,"-",MEDIAN(F5:F10,M5:M10))</f>
        <v/>
      </c>
    </row>
    <row r="16">
      <c r="D16" s="16" t="inlineStr">
        <is>
          <t>最高</t>
        </is>
      </c>
      <c r="E16" s="10">
        <f>IF(COUNT(F5:F10,M5:M10)=0,"-",MAX(F5:F10,M5:M10))</f>
        <v/>
      </c>
    </row>
    <row r="17">
      <c r="D17" s="16" t="inlineStr">
        <is>
          <t>自社と中央値の差</t>
        </is>
      </c>
      <c r="E17" s="10">
        <f>IF(COUNT(F5:F10,M5:M10)=0,"-",$B$8-MEDIAN(F5:F10,M5:M10))</f>
        <v/>
      </c>
    </row>
    <row r="18">
      <c r="D18" s="16" t="inlineStr">
        <is>
          <t>自社と最安の差</t>
        </is>
      </c>
      <c r="E18" s="10">
        <f>IF(COUNT(F5:F10,M5:M10)=0,"-",$B$8-MIN(F5:F10,M5:M10))</f>
        <v/>
      </c>
    </row>
    <row r="20">
      <c r="D20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1">
      <c r="D21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菊陽店　周辺時給調査</t>
        </is>
      </c>
    </row>
    <row r="2">
      <c r="A2" s="2" t="inlineStr">
        <is>
          <t>住所：熊本県菊池郡菊陽町津久礼2750-2　TEL：096-234-8668　調査商圏：熊本県菊池郡菊陽町・光の森エリア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熊本県最低賃金</t>
        </is>
      </c>
      <c r="B5" s="10" t="n">
        <v>1034</v>
      </c>
      <c r="D5" s="8" t="inlineStr">
        <is>
          <t>うどん・そば</t>
        </is>
      </c>
      <c r="E5" s="8" t="inlineStr">
        <is>
          <t>丸亀製麺 ゆめタウン光の森店</t>
        </is>
      </c>
      <c r="F5" s="8">
        <f>IF(調査台帳!N48="媒体掲載値",調査台帳!G48,"未確定")</f>
        <v/>
      </c>
      <c r="G5" s="8" t="inlineStr">
        <is>
          <t>求人表示 1,200～1,500円／閉店作業 1,100円～／土曜+50円・日祝+100円</t>
        </is>
      </c>
      <c r="H5" s="8">
        <f>調査台帳!N48</f>
        <v/>
      </c>
      <c r="I5" s="8" t="inlineStr">
        <is>
          <t>未計測</t>
        </is>
      </c>
      <c r="K5" s="8" t="inlineStr">
        <is>
          <t>回転寿司</t>
        </is>
      </c>
      <c r="L5" s="8" t="inlineStr">
        <is>
          <t>無添くら寿司 光の森店</t>
        </is>
      </c>
      <c r="M5" s="8">
        <f>IF(調査台帳!N54="媒体掲載値",調査台帳!G54,"未確定")</f>
        <v/>
      </c>
      <c r="N5" s="8" t="inlineStr">
        <is>
          <t>1,060～1,400円</t>
        </is>
      </c>
      <c r="O5" s="8">
        <f>調査台帳!N54</f>
        <v/>
      </c>
      <c r="P5" s="8" t="inlineStr">
        <is>
          <t>未計測</t>
        </is>
      </c>
    </row>
    <row r="6">
      <c r="A6" s="11" t="inlineStr">
        <is>
          <t>発効日</t>
        </is>
      </c>
      <c r="B6" s="10" t="inlineStr">
        <is>
          <t>2026-01-01</t>
        </is>
      </c>
      <c r="D6" s="7" t="inlineStr"/>
      <c r="E6" s="7" t="inlineStr">
        <is>
          <t>うどんウエスト 菊陽光の森店</t>
        </is>
      </c>
      <c r="F6" s="7">
        <f>IF(調査台帳!N49="媒体掲載値",調査台帳!G49,"未確定")</f>
        <v/>
      </c>
      <c r="G6" s="7" t="inlineStr">
        <is>
          <t>うどんコーナー 900円～/950円～／深夜早朝 1,400円～／土日祝+50円</t>
        </is>
      </c>
      <c r="H6" s="7">
        <f>調査台帳!N49</f>
        <v/>
      </c>
      <c r="I6" s="7" t="inlineStr">
        <is>
          <t>未計測</t>
        </is>
      </c>
      <c r="K6" s="8" t="inlineStr"/>
      <c r="L6" s="8" t="inlineStr">
        <is>
          <t>スシロー 光の森店</t>
        </is>
      </c>
      <c r="M6" s="8">
        <f>IF(調査台帳!N55="媒体掲載値",調査台帳!G55,"未確定")</f>
        <v/>
      </c>
      <c r="N6" s="8" t="inlineStr">
        <is>
          <t>店舗固有の金額を取得できず(県内一般1,050円のみ)</t>
        </is>
      </c>
      <c r="O6" s="8">
        <f>調査台帳!N55</f>
        <v/>
      </c>
      <c r="P6" s="8" t="inlineStr">
        <is>
          <t>未計測</t>
        </is>
      </c>
    </row>
    <row r="7">
      <c r="D7" s="8" t="inlineStr">
        <is>
          <t>ファミレス</t>
        </is>
      </c>
      <c r="E7" s="8" t="inlineStr">
        <is>
          <t>ジョイフル 菊陽店</t>
        </is>
      </c>
      <c r="F7" s="8">
        <f>IF(調査台帳!N50="媒体掲載値",調査台帳!G50,"未確定")</f>
        <v/>
      </c>
      <c r="G7" s="8" t="inlineStr">
        <is>
          <t>9-15時 1,250円／15-18時 1,084円／18-22時 1,200円／22-0時 1,355円／0-9時 1,438円／高校生 1,084円</t>
        </is>
      </c>
      <c r="H7" s="8">
        <f>調査台帳!N50</f>
        <v/>
      </c>
      <c r="I7" s="8" t="inlineStr">
        <is>
          <t>未計測</t>
        </is>
      </c>
      <c r="K7" s="7" t="inlineStr">
        <is>
          <t>商業施設</t>
        </is>
      </c>
      <c r="L7" s="7" t="inlineStr">
        <is>
          <t>ゆめタウン光の森(飲食テナント)</t>
        </is>
      </c>
      <c r="M7" s="7">
        <f>IF(調査台帳!N56="媒体掲載値",調査台帳!G56,"未確定")</f>
        <v/>
      </c>
      <c r="N7" s="7" t="inlineStr">
        <is>
          <t>施設全体で 洋食1,100円～(研修1,035円)／和食1,200円(研修1,100円)／ラーメン1,050円～／中華1,100円～</t>
        </is>
      </c>
      <c r="O7" s="7">
        <f>調査台帳!N56</f>
        <v/>
      </c>
      <c r="P7" s="7" t="inlineStr">
        <is>
          <t>未計測</t>
        </is>
      </c>
    </row>
    <row r="8">
      <c r="A8" s="12" t="inlineStr">
        <is>
          <t>菊陽店 現行時給</t>
        </is>
      </c>
      <c r="B8" s="13" t="n">
        <v>1034</v>
      </c>
      <c r="D8" s="8" t="inlineStr"/>
      <c r="E8" s="8" t="inlineStr">
        <is>
          <t>ジョイフル 大津店</t>
        </is>
      </c>
      <c r="F8" s="8">
        <f>IF(調査台帳!N51="媒体掲載値",調査台帳!G51,"未確定")</f>
        <v/>
      </c>
      <c r="G8" s="8" t="inlineStr">
        <is>
          <t>時給の記載を取得できず</t>
        </is>
      </c>
      <c r="H8" s="8">
        <f>調査台帳!N51</f>
        <v/>
      </c>
      <c r="I8" s="8" t="inlineStr">
        <is>
          <t>未計測</t>
        </is>
      </c>
      <c r="K8" s="8" t="inlineStr">
        <is>
          <t>ちゃんぽん・麺</t>
        </is>
      </c>
      <c r="L8" s="8" t="inlineStr">
        <is>
          <t>とりのすけ 光の森店</t>
        </is>
      </c>
      <c r="M8" s="8">
        <f>IF(調査台帳!N57="媒体掲載値",調査台帳!G57,"未確定")</f>
        <v/>
      </c>
      <c r="N8" s="8" t="inlineStr">
        <is>
          <t>時給の記載を取得できず</t>
        </is>
      </c>
      <c r="O8" s="8">
        <f>調査台帳!N57</f>
        <v/>
      </c>
      <c r="P8" s="8" t="inlineStr">
        <is>
          <t>未計測</t>
        </is>
      </c>
    </row>
    <row r="9">
      <c r="A9" s="14" t="inlineStr">
        <is>
          <t>深夜時給(22-5時)</t>
        </is>
      </c>
      <c r="B9" s="13" t="n">
        <v>1293</v>
      </c>
      <c r="D9" s="7" t="inlineStr">
        <is>
          <t>ファストフード</t>
        </is>
      </c>
      <c r="E9" s="7" t="inlineStr">
        <is>
          <t>マクドナルド 光の森ゆめタウン店</t>
        </is>
      </c>
      <c r="F9" s="7">
        <f>IF(調査台帳!N52="媒体掲載値",調査台帳!G52,"未確定")</f>
        <v/>
      </c>
      <c r="G9" s="7" t="inlineStr">
        <is>
          <t>熊本県内一般として1,040円～、深夜1,250円</t>
        </is>
      </c>
      <c r="H9" s="7">
        <f>調査台帳!N52</f>
        <v/>
      </c>
      <c r="I9" s="7" t="inlineStr">
        <is>
          <t>未計測</t>
        </is>
      </c>
      <c r="K9" s="7" t="inlineStr">
        <is>
          <t>牛丼・定食</t>
        </is>
      </c>
      <c r="L9" s="7" t="inlineStr">
        <is>
          <t>すき家 57号大津店</t>
        </is>
      </c>
      <c r="M9" s="7">
        <f>IF(調査台帳!N58="媒体掲載値",調査台帳!G58,"未確定")</f>
        <v/>
      </c>
      <c r="N9" s="7" t="inlineStr">
        <is>
          <t>媒体A(タウンワーク): 1,200～1,500円　媒体B(バイトル): 950～1,188円</t>
        </is>
      </c>
      <c r="O9" s="7">
        <f>調査台帳!N58</f>
        <v/>
      </c>
      <c r="P9" s="7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7" t="inlineStr"/>
      <c r="E10" s="7" t="inlineStr">
        <is>
          <t>マクドナルド 熊本大津店</t>
        </is>
      </c>
      <c r="F10" s="7">
        <f>IF(調査台帳!N53="媒体掲載値",調査台帳!G53,"未確定")</f>
        <v/>
      </c>
      <c r="G10" s="7" t="inlineStr">
        <is>
          <t>1,000円スタート／年2回昇給</t>
        </is>
      </c>
      <c r="H10" s="7">
        <f>調査台帳!N53</f>
        <v/>
      </c>
      <c r="I10" s="7" t="inlineStr">
        <is>
          <t>未計測</t>
        </is>
      </c>
      <c r="K10" s="8" t="inlineStr">
        <is>
          <t>小売(参考)</t>
        </is>
      </c>
      <c r="L10" s="8" t="inlineStr">
        <is>
          <t>ダイソー 光の森店</t>
        </is>
      </c>
      <c r="M10" s="8">
        <f>IF(調査台帳!N59="媒体掲載値",調査台帳!G59,"未確定")</f>
        <v/>
      </c>
      <c r="N10" s="8" t="inlineStr">
        <is>
          <t>1,050～1,080円(接客販売)</t>
        </is>
      </c>
      <c r="O10" s="8">
        <f>調査台帳!N59</f>
        <v/>
      </c>
      <c r="P10" s="8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</row>
    <row r="12">
      <c r="A12" s="14" t="inlineStr">
        <is>
          <t>最低賃金との差</t>
        </is>
      </c>
      <c r="B12" s="13">
        <f>B8-B5</f>
        <v/>
      </c>
      <c r="D12" s="15" t="inlineStr">
        <is>
          <t>周辺相場（証明レベルが通った値のみで集計・対象12件中）</t>
        </is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  <c r="D13" s="16" t="inlineStr">
        <is>
          <t>採用できた件数</t>
        </is>
      </c>
      <c r="E13" s="10">
        <f>COUNT(F5:F10,M5:M10)</f>
        <v/>
      </c>
    </row>
    <row r="14">
      <c r="D14" s="16" t="inlineStr">
        <is>
          <t>最安</t>
        </is>
      </c>
      <c r="E14" s="10">
        <f>IF(COUNT(F5:F10,M5:M10)=0,"-",MIN(F5:F10,M5:M10))</f>
        <v/>
      </c>
    </row>
    <row r="15">
      <c r="D15" s="16" t="inlineStr">
        <is>
          <t>中央値</t>
        </is>
      </c>
      <c r="E15" s="10">
        <f>IF(COUNT(F5:F10,M5:M10)=0,"-",MEDIAN(F5:F10,M5:M10))</f>
        <v/>
      </c>
    </row>
    <row r="16">
      <c r="D16" s="16" t="inlineStr">
        <is>
          <t>最高</t>
        </is>
      </c>
      <c r="E16" s="10">
        <f>IF(COUNT(F5:F10,M5:M10)=0,"-",MAX(F5:F10,M5:M10))</f>
        <v/>
      </c>
    </row>
    <row r="17">
      <c r="D17" s="16" t="inlineStr">
        <is>
          <t>自社と中央値の差</t>
        </is>
      </c>
      <c r="E17" s="10">
        <f>IF(COUNT(F5:F10,M5:M10)=0,"-",$B$8-MEDIAN(F5:F10,M5:M10))</f>
        <v/>
      </c>
    </row>
    <row r="18">
      <c r="D18" s="16" t="inlineStr">
        <is>
          <t>自社と最安の差</t>
        </is>
      </c>
      <c r="E18" s="10">
        <f>IF(COUNT(F5:F10,M5:M10)=0,"-",$B$8-MIN(F5:F10,M5:M10))</f>
        <v/>
      </c>
    </row>
    <row r="20">
      <c r="D20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1">
      <c r="D21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鳥栖真木店　周辺時給調査</t>
        </is>
      </c>
    </row>
    <row r="2">
      <c r="A2" s="2" t="inlineStr">
        <is>
          <t>住所：佐賀県鳥栖市真木町1113-6　TEL：0942-50-5105　調査商圏：佐賀県鳥栖市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佐賀県最低賃金</t>
        </is>
      </c>
      <c r="B5" s="10" t="n">
        <v>1030</v>
      </c>
      <c r="D5" s="7" t="inlineStr">
        <is>
          <t>うどん・そば</t>
        </is>
      </c>
      <c r="E5" s="7" t="inlineStr">
        <is>
          <t>丸亀製麺 鳥栖店</t>
        </is>
      </c>
      <c r="F5" s="7">
        <f>IF(調査台帳!N60="媒体掲載値",調査台帳!G60,"未確定")</f>
        <v/>
      </c>
      <c r="G5" s="7" t="inlineStr">
        <is>
          <t>開店準備・仕込みスタッフ 980円～(高校生同額)</t>
        </is>
      </c>
      <c r="H5" s="7">
        <f>調査台帳!N60</f>
        <v/>
      </c>
      <c r="I5" s="7" t="inlineStr">
        <is>
          <t>未計測</t>
        </is>
      </c>
      <c r="K5" s="7" t="inlineStr">
        <is>
          <t>ファストフード</t>
        </is>
      </c>
      <c r="L5" s="7" t="inlineStr">
        <is>
          <t>ケンタッキー 鳥栖店</t>
        </is>
      </c>
      <c r="M5" s="7">
        <f>IF(調査台帳!N66="媒体掲載値",調査台帳!G66,"未確定")</f>
        <v/>
      </c>
      <c r="N5" s="7" t="inlineStr">
        <is>
          <t>媒体A: 1,000円以上　媒体B: 1,050円</t>
        </is>
      </c>
      <c r="O5" s="7">
        <f>調査台帳!N66</f>
        <v/>
      </c>
      <c r="P5" s="7" t="inlineStr">
        <is>
          <t>未計測</t>
        </is>
      </c>
    </row>
    <row r="6">
      <c r="A6" s="11" t="inlineStr">
        <is>
          <t>発効日</t>
        </is>
      </c>
      <c r="B6" s="10" t="inlineStr">
        <is>
          <t>2025-11-21</t>
        </is>
      </c>
      <c r="D6" s="8" t="inlineStr"/>
      <c r="E6" s="8" t="inlineStr">
        <is>
          <t>うどんウエスト(鳥栖)</t>
        </is>
      </c>
      <c r="F6" s="8">
        <f>IF(調査台帳!N61="媒体掲載値",調査台帳!G61,"未確定")</f>
        <v/>
      </c>
      <c r="G6" s="8" t="inlineStr">
        <is>
          <t>鳥栖にうどん業態の掲載を確認できず(焼肉鳥栖店のみ)</t>
        </is>
      </c>
      <c r="H6" s="8">
        <f>調査台帳!N61</f>
        <v/>
      </c>
      <c r="I6" s="8" t="inlineStr">
        <is>
          <t>未計測</t>
        </is>
      </c>
      <c r="K6" s="8" t="inlineStr">
        <is>
          <t>回転寿司</t>
        </is>
      </c>
      <c r="L6" s="8" t="inlineStr">
        <is>
          <t>スシロー 鳥栖古賀店</t>
        </is>
      </c>
      <c r="M6" s="8">
        <f>IF(調査台帳!N67="媒体掲載値",調査台帳!G67,"未確定")</f>
        <v/>
      </c>
      <c r="N6" s="8" t="inlineStr">
        <is>
          <t>1,050～1,313円／土日祝UP／22時以降1,313円／高校生1,030円</t>
        </is>
      </c>
      <c r="O6" s="8">
        <f>調査台帳!N67</f>
        <v/>
      </c>
      <c r="P6" s="8" t="inlineStr">
        <is>
          <t>未計測</t>
        </is>
      </c>
    </row>
    <row r="7">
      <c r="D7" s="8" t="inlineStr">
        <is>
          <t>焼肉</t>
        </is>
      </c>
      <c r="E7" s="8" t="inlineStr">
        <is>
          <t>ウエスト 焼肉 鳥栖店</t>
        </is>
      </c>
      <c r="F7" s="8">
        <f>IF(調査台帳!N62="媒体掲載値",調査台帳!G62,"未確定")</f>
        <v/>
      </c>
      <c r="G7" s="8" t="inlineStr">
        <is>
          <t>一般1,150円／高校生1,100円／土日祝+50円／22時以降1.25倍</t>
        </is>
      </c>
      <c r="H7" s="8">
        <f>調査台帳!N62</f>
        <v/>
      </c>
      <c r="I7" s="8" t="inlineStr">
        <is>
          <t>未計測</t>
        </is>
      </c>
      <c r="K7" s="7" t="inlineStr"/>
      <c r="L7" s="7" t="inlineStr">
        <is>
          <t>無添くら寿司 フレスポ鳥栖店</t>
        </is>
      </c>
      <c r="M7" s="7">
        <f>IF(調査台帳!N68="媒体掲載値",調査台帳!G68,"未確定")</f>
        <v/>
      </c>
      <c r="N7" s="7" t="inlineStr">
        <is>
          <t>950～1,000円(時間帯による)／別掲載で956～1,050円</t>
        </is>
      </c>
      <c r="O7" s="7">
        <f>調査台帳!N68</f>
        <v/>
      </c>
      <c r="P7" s="7" t="inlineStr">
        <is>
          <t>未計測</t>
        </is>
      </c>
    </row>
    <row r="8">
      <c r="A8" s="12" t="inlineStr">
        <is>
          <t>鳥栖真木店 現行時給</t>
        </is>
      </c>
      <c r="B8" s="13" t="n">
        <v>1030</v>
      </c>
      <c r="D8" s="7" t="inlineStr">
        <is>
          <t>牛丼・定食</t>
        </is>
      </c>
      <c r="E8" s="7" t="inlineStr">
        <is>
          <t>すき家(鳥栖市)</t>
        </is>
      </c>
      <c r="F8" s="7">
        <f>IF(調査台帳!N63="媒体掲載値",調査台帳!G63,"未確定")</f>
        <v/>
      </c>
      <c r="G8" s="7" t="inlineStr">
        <is>
          <t>1,080～1,350円／早朝(5-9時)+150円</t>
        </is>
      </c>
      <c r="H8" s="7">
        <f>調査台帳!N63</f>
        <v/>
      </c>
      <c r="I8" s="7" t="inlineStr">
        <is>
          <t>未計測</t>
        </is>
      </c>
      <c r="K8" s="8" t="inlineStr"/>
      <c r="L8" s="8" t="inlineStr">
        <is>
          <t>はま寿司(鳥栖市)</t>
        </is>
      </c>
      <c r="M8" s="8">
        <f>IF(調査台帳!N69="媒体掲載値",調査台帳!G69,"未確定")</f>
        <v/>
      </c>
      <c r="N8" s="8" t="inlineStr">
        <is>
          <t>店舗別の掲載を取得できず</t>
        </is>
      </c>
      <c r="O8" s="8">
        <f>調査台帳!N69</f>
        <v/>
      </c>
      <c r="P8" s="8" t="inlineStr">
        <is>
          <t>未計測</t>
        </is>
      </c>
    </row>
    <row r="9">
      <c r="A9" s="14" t="inlineStr">
        <is>
          <t>深夜時給(22-5時)</t>
        </is>
      </c>
      <c r="B9" s="13" t="n">
        <v>1288</v>
      </c>
      <c r="D9" s="8" t="inlineStr">
        <is>
          <t>ファミレス</t>
        </is>
      </c>
      <c r="E9" s="8" t="inlineStr">
        <is>
          <t>ジョイフル 鳥栖中央店</t>
        </is>
      </c>
      <c r="F9" s="8">
        <f>IF(調査台帳!N64="媒体掲載値",調査台帳!G64,"未確定")</f>
        <v/>
      </c>
      <c r="G9" s="8" t="inlineStr">
        <is>
          <t>求人表示 1,200～1,450円</t>
        </is>
      </c>
      <c r="H9" s="8">
        <f>調査台帳!N64</f>
        <v/>
      </c>
      <c r="I9" s="8" t="inlineStr">
        <is>
          <t>未計測</t>
        </is>
      </c>
      <c r="K9" s="8" t="inlineStr">
        <is>
          <t>ファストフード</t>
        </is>
      </c>
      <c r="L9" s="8" t="inlineStr">
        <is>
          <t>モスバーガー(鳥栖市)</t>
        </is>
      </c>
      <c r="M9" s="8">
        <f>IF(調査台帳!N70="媒体掲載値",調査台帳!G70,"未確定")</f>
        <v/>
      </c>
      <c r="N9" s="8" t="inlineStr">
        <is>
          <t>店舗別の掲載を取得できず</t>
        </is>
      </c>
      <c r="O9" s="8">
        <f>調査台帳!N70</f>
        <v/>
      </c>
      <c r="P9" s="8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7" t="inlineStr">
        <is>
          <t>ファストフード</t>
        </is>
      </c>
      <c r="E10" s="7" t="inlineStr">
        <is>
          <t>マクドナルド 鳥栖フレスポ店</t>
        </is>
      </c>
      <c r="F10" s="7">
        <f>IF(調査台帳!N65="媒体掲載値",調査台帳!G65,"未確定")</f>
        <v/>
      </c>
      <c r="G10" s="7" t="inlineStr">
        <is>
          <t>1,020円～／勤務10:00-21:30</t>
        </is>
      </c>
      <c r="H10" s="7">
        <f>調査台帳!N65</f>
        <v/>
      </c>
      <c r="I10" s="7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</row>
    <row r="12">
      <c r="A12" s="14" t="inlineStr">
        <is>
          <t>最低賃金との差</t>
        </is>
      </c>
      <c r="B12" s="13">
        <f>B8-B5</f>
        <v/>
      </c>
      <c r="D12" s="15" t="inlineStr">
        <is>
          <t>周辺相場（証明レベルが通った値のみで集計・対象11件中）</t>
        </is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  <c r="D13" s="16" t="inlineStr">
        <is>
          <t>採用できた件数</t>
        </is>
      </c>
      <c r="E13" s="10">
        <f>COUNT(F5:F10,M5:M9)</f>
        <v/>
      </c>
    </row>
    <row r="14">
      <c r="D14" s="16" t="inlineStr">
        <is>
          <t>最安</t>
        </is>
      </c>
      <c r="E14" s="10">
        <f>IF(COUNT(F5:F10,M5:M9)=0,"-",MIN(F5:F10,M5:M9))</f>
        <v/>
      </c>
    </row>
    <row r="15">
      <c r="D15" s="16" t="inlineStr">
        <is>
          <t>中央値</t>
        </is>
      </c>
      <c r="E15" s="10">
        <f>IF(COUNT(F5:F10,M5:M9)=0,"-",MEDIAN(F5:F10,M5:M9))</f>
        <v/>
      </c>
    </row>
    <row r="16">
      <c r="D16" s="16" t="inlineStr">
        <is>
          <t>最高</t>
        </is>
      </c>
      <c r="E16" s="10">
        <f>IF(COUNT(F5:F10,M5:M9)=0,"-",MAX(F5:F10,M5:M9))</f>
        <v/>
      </c>
    </row>
    <row r="17">
      <c r="D17" s="16" t="inlineStr">
        <is>
          <t>自社と中央値の差</t>
        </is>
      </c>
      <c r="E17" s="10">
        <f>IF(COUNT(F5:F10,M5:M9)=0,"-",$B$8-MEDIAN(F5:F10,M5:M9))</f>
        <v/>
      </c>
    </row>
    <row r="18">
      <c r="D18" s="16" t="inlineStr">
        <is>
          <t>自社と最安の差</t>
        </is>
      </c>
      <c r="E18" s="10">
        <f>IF(COUNT(F5:F10,M5:M9)=0,"-",$B$8-MIN(F5:F10,M5:M9))</f>
        <v/>
      </c>
    </row>
    <row r="20">
      <c r="D20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1">
      <c r="D21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佐賀兵庫店　周辺時給調査</t>
        </is>
      </c>
    </row>
    <row r="2">
      <c r="A2" s="2" t="inlineStr">
        <is>
          <t>住所：佐賀県佐賀市兵庫町大字藤木1487-4　TEL：0952-97-5501　調査商圏：佐賀県佐賀市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佐賀県最低賃金</t>
        </is>
      </c>
      <c r="B5" s="10" t="n">
        <v>1030</v>
      </c>
      <c r="D5" s="8" t="inlineStr">
        <is>
          <t>うどん・そば</t>
        </is>
      </c>
      <c r="E5" s="8" t="inlineStr">
        <is>
          <t>うどんウエスト 佐賀光法店</t>
        </is>
      </c>
      <c r="F5" s="8">
        <f>IF(調査台帳!N71="媒体掲載値",調査台帳!G71,"未確定")</f>
        <v/>
      </c>
      <c r="G5" s="8" t="inlineStr">
        <is>
          <t>うどんコーナー 1,150円～／高校生 1,030円～</t>
        </is>
      </c>
      <c r="H5" s="8">
        <f>調査台帳!N71</f>
        <v/>
      </c>
      <c r="I5" s="8" t="inlineStr">
        <is>
          <t>未計測</t>
        </is>
      </c>
      <c r="K5" s="8" t="inlineStr">
        <is>
          <t>ファストフード</t>
        </is>
      </c>
      <c r="L5" s="8" t="inlineStr">
        <is>
          <t>マクドナルド 佐賀ミスターマックス店</t>
        </is>
      </c>
      <c r="M5" s="8">
        <f>IF(調査台帳!N78="媒体掲載値",調査台帳!G78,"未確定")</f>
        <v/>
      </c>
      <c r="N5" s="8" t="inlineStr">
        <is>
          <t>1,050円～／高校生22-5時25%UP</t>
        </is>
      </c>
      <c r="O5" s="8">
        <f>調査台帳!N78</f>
        <v/>
      </c>
      <c r="P5" s="8" t="inlineStr">
        <is>
          <t>未計測</t>
        </is>
      </c>
    </row>
    <row r="6">
      <c r="A6" s="11" t="inlineStr">
        <is>
          <t>発効日</t>
        </is>
      </c>
      <c r="B6" s="10" t="inlineStr">
        <is>
          <t>2025-11-21</t>
        </is>
      </c>
      <c r="D6" s="7" t="inlineStr"/>
      <c r="E6" s="7" t="inlineStr">
        <is>
          <t>丸亀製麺 佐賀店</t>
        </is>
      </c>
      <c r="F6" s="7">
        <f>IF(調査台帳!N72="媒体掲載値",調査台帳!G72,"未確定")</f>
        <v/>
      </c>
      <c r="G6" s="7" t="inlineStr">
        <is>
          <t>ホールスタッフ 1,000円～／22時以降25%UP</t>
        </is>
      </c>
      <c r="H6" s="7">
        <f>調査台帳!N72</f>
        <v/>
      </c>
      <c r="I6" s="7" t="inlineStr">
        <is>
          <t>未計測</t>
        </is>
      </c>
      <c r="K6" s="7" t="inlineStr"/>
      <c r="L6" s="7" t="inlineStr">
        <is>
          <t>ロッテリア モラージュ佐賀店</t>
        </is>
      </c>
      <c r="M6" s="7">
        <f>IF(調査台帳!N79="媒体掲載値",調査台帳!G79,"未確定")</f>
        <v/>
      </c>
      <c r="N6" s="7" t="inlineStr">
        <is>
          <t>1,000円以上</t>
        </is>
      </c>
      <c r="O6" s="7">
        <f>調査台帳!N79</f>
        <v/>
      </c>
      <c r="P6" s="7" t="inlineStr">
        <is>
          <t>未計測</t>
        </is>
      </c>
    </row>
    <row r="7">
      <c r="D7" s="8" t="inlineStr">
        <is>
          <t>ファミレス</t>
        </is>
      </c>
      <c r="E7" s="8" t="inlineStr">
        <is>
          <t>ジョイフル 南佐賀店</t>
        </is>
      </c>
      <c r="F7" s="8">
        <f>IF(調査台帳!N73="媒体掲載値",調査台帳!G73,"未確定")</f>
        <v/>
      </c>
      <c r="G7" s="8" t="inlineStr">
        <is>
          <t>求人表示 1,150～1,350円</t>
        </is>
      </c>
      <c r="H7" s="8">
        <f>調査台帳!N73</f>
        <v/>
      </c>
      <c r="I7" s="8" t="inlineStr">
        <is>
          <t>未計測</t>
        </is>
      </c>
      <c r="K7" s="8" t="inlineStr">
        <is>
          <t>回転寿司</t>
        </is>
      </c>
      <c r="L7" s="8" t="inlineStr">
        <is>
          <t>スシロー 佐賀兵庫店</t>
        </is>
      </c>
      <c r="M7" s="8">
        <f>IF(調査台帳!N80="媒体掲載値",調査台帳!G80,"未確定")</f>
        <v/>
      </c>
      <c r="N7" s="8" t="inlineStr">
        <is>
          <t>1,080～1,350円／土日祝UP／22時以降1,350円／高校生1,030円／研修60h 1,030～1,288円</t>
        </is>
      </c>
      <c r="O7" s="8">
        <f>調査台帳!N80</f>
        <v/>
      </c>
      <c r="P7" s="8" t="inlineStr">
        <is>
          <t>未計測</t>
        </is>
      </c>
    </row>
    <row r="8">
      <c r="A8" s="12" t="inlineStr">
        <is>
          <t>佐賀兵庫店 現行時給</t>
        </is>
      </c>
      <c r="B8" s="13" t="n">
        <v>1030</v>
      </c>
      <c r="D8" s="8" t="inlineStr"/>
      <c r="E8" s="8" t="inlineStr">
        <is>
          <t>ジョイフル 佐賀店</t>
        </is>
      </c>
      <c r="F8" s="8">
        <f>IF(調査台帳!N74="媒体掲載値",調査台帳!G74,"未確定")</f>
        <v/>
      </c>
      <c r="G8" s="8" t="inlineStr">
        <is>
          <t>求人表示 1,100～1,500円</t>
        </is>
      </c>
      <c r="H8" s="8">
        <f>調査台帳!N74</f>
        <v/>
      </c>
      <c r="I8" s="8" t="inlineStr">
        <is>
          <t>未計測</t>
        </is>
      </c>
      <c r="K8" s="8" t="inlineStr"/>
      <c r="L8" s="8" t="inlineStr">
        <is>
          <t>無添くら寿司 佐賀若宮店</t>
        </is>
      </c>
      <c r="M8" s="8">
        <f>IF(調査台帳!N81="媒体掲載値",調査台帳!G81,"未確定")</f>
        <v/>
      </c>
      <c r="N8" s="8" t="inlineStr">
        <is>
          <t>1,080～1,400円</t>
        </is>
      </c>
      <c r="O8" s="8">
        <f>調査台帳!N81</f>
        <v/>
      </c>
      <c r="P8" s="8" t="inlineStr">
        <is>
          <t>未計測</t>
        </is>
      </c>
    </row>
    <row r="9">
      <c r="A9" s="14" t="inlineStr">
        <is>
          <t>深夜時給(22-5時)</t>
        </is>
      </c>
      <c r="B9" s="13" t="n">
        <v>1288</v>
      </c>
      <c r="D9" s="8" t="inlineStr"/>
      <c r="E9" s="8" t="inlineStr">
        <is>
          <t>ジョイフル 佐賀開成店</t>
        </is>
      </c>
      <c r="F9" s="8">
        <f>IF(調査台帳!N75="媒体掲載値",調査台帳!G75,"未確定")</f>
        <v/>
      </c>
      <c r="G9" s="8" t="inlineStr">
        <is>
          <t>求人表示 1,100～1,375円</t>
        </is>
      </c>
      <c r="H9" s="8">
        <f>調査台帳!N75</f>
        <v/>
      </c>
      <c r="I9" s="8" t="inlineStr">
        <is>
          <t>未計測</t>
        </is>
      </c>
      <c r="K9" s="8" t="inlineStr"/>
      <c r="L9" s="8" t="inlineStr">
        <is>
          <t>無添くら寿司 佐賀南店</t>
        </is>
      </c>
      <c r="M9" s="8">
        <f>IF(調査台帳!N82="媒体掲載値",調査台帳!G82,"未確定")</f>
        <v/>
      </c>
      <c r="N9" s="8" t="inlineStr">
        <is>
          <t>1,060～1,338円</t>
        </is>
      </c>
      <c r="O9" s="8">
        <f>調査台帳!N82</f>
        <v/>
      </c>
      <c r="P9" s="8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8" t="inlineStr"/>
      <c r="E10" s="8" t="inlineStr">
        <is>
          <t>ジョイフル 佐賀西与賀店</t>
        </is>
      </c>
      <c r="F10" s="8">
        <f>IF(調査台帳!N76="媒体掲載値",調査台帳!G76,"未確定")</f>
        <v/>
      </c>
      <c r="G10" s="8" t="inlineStr">
        <is>
          <t>9-15時 1,130円／15-18時 1,100円／18-22時 1,150円／22-5時 1,375円／5-9時 1,150円／高校生 1,030円</t>
        </is>
      </c>
      <c r="H10" s="8">
        <f>調査台帳!N76</f>
        <v/>
      </c>
      <c r="I10" s="8" t="inlineStr">
        <is>
          <t>未計測</t>
        </is>
      </c>
      <c r="K10" s="8" t="inlineStr">
        <is>
          <t>商業施設</t>
        </is>
      </c>
      <c r="L10" s="8" t="inlineStr">
        <is>
          <t>天麩羅こむぎ モラージュ佐賀</t>
        </is>
      </c>
      <c r="M10" s="8">
        <f>IF(調査台帳!N83="媒体掲載値",調査台帳!G83,"未確定")</f>
        <v/>
      </c>
      <c r="N10" s="8" t="inlineStr">
        <is>
          <t>1,050円以上／高校生可</t>
        </is>
      </c>
      <c r="O10" s="8">
        <f>調査台帳!N83</f>
        <v/>
      </c>
      <c r="P10" s="8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  <c r="D11" s="8" t="inlineStr">
        <is>
          <t>ファストフード</t>
        </is>
      </c>
      <c r="E11" s="8" t="inlineStr">
        <is>
          <t>マクドナルド 佐賀ゆめタウン店</t>
        </is>
      </c>
      <c r="F11" s="8">
        <f>IF(調査台帳!N77="媒体掲載値",調査台帳!G77,"未確定")</f>
        <v/>
      </c>
      <c r="G11" s="8" t="inlineStr">
        <is>
          <t>1,050円</t>
        </is>
      </c>
      <c r="H11" s="8">
        <f>調査台帳!N77</f>
        <v/>
      </c>
      <c r="I11" s="8" t="inlineStr">
        <is>
          <t>未計測</t>
        </is>
      </c>
    </row>
    <row r="12">
      <c r="A12" s="14" t="inlineStr">
        <is>
          <t>最低賃金との差</t>
        </is>
      </c>
      <c r="B12" s="13">
        <f>B8-B5</f>
        <v/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  <c r="D13" s="15" t="inlineStr">
        <is>
          <t>周辺相場（証明レベルが通った値のみで集計・対象13件中）</t>
        </is>
      </c>
    </row>
    <row r="14">
      <c r="D14" s="16" t="inlineStr">
        <is>
          <t>採用できた件数</t>
        </is>
      </c>
      <c r="E14" s="10">
        <f>COUNT(F5:F11,M5:M10)</f>
        <v/>
      </c>
    </row>
    <row r="15">
      <c r="D15" s="16" t="inlineStr">
        <is>
          <t>最安</t>
        </is>
      </c>
      <c r="E15" s="10">
        <f>IF(COUNT(F5:F11,M5:M10)=0,"-",MIN(F5:F11,M5:M10))</f>
        <v/>
      </c>
    </row>
    <row r="16">
      <c r="D16" s="16" t="inlineStr">
        <is>
          <t>中央値</t>
        </is>
      </c>
      <c r="E16" s="10">
        <f>IF(COUNT(F5:F11,M5:M10)=0,"-",MEDIAN(F5:F11,M5:M10))</f>
        <v/>
      </c>
    </row>
    <row r="17">
      <c r="D17" s="16" t="inlineStr">
        <is>
          <t>最高</t>
        </is>
      </c>
      <c r="E17" s="10">
        <f>IF(COUNT(F5:F11,M5:M10)=0,"-",MAX(F5:F11,M5:M10))</f>
        <v/>
      </c>
    </row>
    <row r="18">
      <c r="D18" s="16" t="inlineStr">
        <is>
          <t>自社と中央値の差</t>
        </is>
      </c>
      <c r="E18" s="10">
        <f>IF(COUNT(F5:F11,M5:M10)=0,"-",$B$8-MEDIAN(F5:F11,M5:M10))</f>
        <v/>
      </c>
    </row>
    <row r="19">
      <c r="D19" s="16" t="inlineStr">
        <is>
          <t>自社と最安の差</t>
        </is>
      </c>
      <c r="E19" s="10">
        <f>IF(COUNT(F5:F11,M5:M10)=0,"-",$B$8-MIN(F5:F11,M5:M10))</f>
        <v/>
      </c>
    </row>
    <row r="21">
      <c r="D21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2">
      <c r="D22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宮崎阿波岐原店　周辺時給調査</t>
        </is>
      </c>
    </row>
    <row r="2">
      <c r="A2" s="2" t="inlineStr">
        <is>
          <t>住所：宮崎県宮崎市阿波岐原町請田2420　TEL：0985-65-3393　調査商圏：宮崎県宮崎市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宮崎県最低賃金</t>
        </is>
      </c>
      <c r="B5" s="10" t="n">
        <v>1023</v>
      </c>
      <c r="D5" s="7" t="inlineStr">
        <is>
          <t>自社(参考)</t>
        </is>
      </c>
      <c r="E5" s="7" t="inlineStr">
        <is>
          <t>資さんうどん 宮崎阿波岐原店の公開求人</t>
        </is>
      </c>
      <c r="F5" s="7">
        <f>IF(調査台帳!N84="媒体掲載値",調査台帳!G84,"未確定")</f>
        <v/>
      </c>
      <c r="G5" s="7" t="inlineStr">
        <is>
          <t>平日1,000円～／土日祝1,130円～／深夜 平日1,250円・土日祝1,413円</t>
        </is>
      </c>
      <c r="H5" s="7">
        <f>調査台帳!N84</f>
        <v/>
      </c>
      <c r="I5" s="7" t="inlineStr">
        <is>
          <t>未計測</t>
        </is>
      </c>
      <c r="K5" s="8" t="inlineStr">
        <is>
          <t>ファストフード</t>
        </is>
      </c>
      <c r="L5" s="8" t="inlineStr">
        <is>
          <t>ケンタッキー JR宮崎店</t>
        </is>
      </c>
      <c r="M5" s="8">
        <f>IF(調査台帳!N91="媒体掲載値",調査台帳!G91,"未確定")</f>
        <v/>
      </c>
      <c r="N5" s="8" t="inlineStr">
        <is>
          <t>1,200円(研修1,100円)／高校生1,100円(研修1,023円)</t>
        </is>
      </c>
      <c r="O5" s="8">
        <f>調査台帳!N91</f>
        <v/>
      </c>
      <c r="P5" s="8" t="inlineStr">
        <is>
          <t>未計測</t>
        </is>
      </c>
    </row>
    <row r="6">
      <c r="A6" s="11" t="inlineStr">
        <is>
          <t>発効日</t>
        </is>
      </c>
      <c r="B6" s="10" t="inlineStr">
        <is>
          <t>2025-11-16</t>
        </is>
      </c>
      <c r="D6" s="8" t="inlineStr">
        <is>
          <t>うどん・そば</t>
        </is>
      </c>
      <c r="E6" s="8" t="inlineStr">
        <is>
          <t>丸亀製麺 イオンモール宮崎店</t>
        </is>
      </c>
      <c r="F6" s="8">
        <f>IF(調査台帳!N85="媒体掲載値",調査台帳!G85,"未確定")</f>
        <v/>
      </c>
      <c r="G6" s="8" t="inlineStr">
        <is>
          <t>1,100円～／12/31・1/2・1/3は+200円、1/1は+300円</t>
        </is>
      </c>
      <c r="H6" s="8">
        <f>調査台帳!N85</f>
        <v/>
      </c>
      <c r="I6" s="8" t="inlineStr">
        <is>
          <t>未計測</t>
        </is>
      </c>
      <c r="K6" s="8" t="inlineStr"/>
      <c r="L6" s="8" t="inlineStr">
        <is>
          <t>ケンタッキー 宮崎大島町店</t>
        </is>
      </c>
      <c r="M6" s="8">
        <f>IF(調査台帳!N92="媒体掲載値",調査台帳!G92,"未確定")</f>
        <v/>
      </c>
      <c r="N6" s="8" t="inlineStr">
        <is>
          <t>1,200円(研修1ヶ月1,100円)／高校生1,100円(研修1,023円)</t>
        </is>
      </c>
      <c r="O6" s="8">
        <f>調査台帳!N92</f>
        <v/>
      </c>
      <c r="P6" s="8" t="inlineStr">
        <is>
          <t>未計測</t>
        </is>
      </c>
    </row>
    <row r="7">
      <c r="D7" s="7" t="inlineStr"/>
      <c r="E7" s="7" t="inlineStr">
        <is>
          <t>丸亀製麺 宮崎住吉店</t>
        </is>
      </c>
      <c r="F7" s="7">
        <f>IF(調査台帳!N86="媒体掲載値",調査台帳!G86,"未確定")</f>
        <v/>
      </c>
      <c r="G7" s="7" t="inlineStr">
        <is>
          <t>1,000円～／22時以降25%UP</t>
        </is>
      </c>
      <c r="H7" s="7">
        <f>調査台帳!N86</f>
        <v/>
      </c>
      <c r="I7" s="7" t="inlineStr">
        <is>
          <t>未計測</t>
        </is>
      </c>
      <c r="K7" s="7" t="inlineStr"/>
      <c r="L7" s="7" t="inlineStr">
        <is>
          <t>ケンタッキー 宮崎高千穂通り店</t>
        </is>
      </c>
      <c r="M7" s="7">
        <f>IF(調査台帳!N93="媒体掲載値",調査台帳!G93,"未確定")</f>
        <v/>
      </c>
      <c r="N7" s="7" t="inlineStr">
        <is>
          <t>1,000円以上</t>
        </is>
      </c>
      <c r="O7" s="7">
        <f>調査台帳!N93</f>
        <v/>
      </c>
      <c r="P7" s="7" t="inlineStr">
        <is>
          <t>未計測</t>
        </is>
      </c>
    </row>
    <row r="8">
      <c r="A8" s="12" t="inlineStr">
        <is>
          <t>宮崎阿波岐原店 現行時給</t>
        </is>
      </c>
      <c r="B8" s="13" t="n">
        <v>1050</v>
      </c>
      <c r="D8" s="7" t="inlineStr"/>
      <c r="E8" s="7" t="inlineStr">
        <is>
          <t>丸亀製麺 宮崎店</t>
        </is>
      </c>
      <c r="F8" s="7">
        <f>IF(調査台帳!N87="媒体掲載値",調査台帳!G87,"未確定")</f>
        <v/>
      </c>
      <c r="G8" s="7" t="inlineStr">
        <is>
          <t>開店準備・仕込みスタッフ 950円～</t>
        </is>
      </c>
      <c r="H8" s="7">
        <f>調査台帳!N87</f>
        <v/>
      </c>
      <c r="I8" s="7" t="inlineStr">
        <is>
          <t>未計測</t>
        </is>
      </c>
      <c r="K8" s="7" t="inlineStr">
        <is>
          <t>回転寿司</t>
        </is>
      </c>
      <c r="L8" s="7" t="inlineStr">
        <is>
          <t>スシロー 宮崎恒久店</t>
        </is>
      </c>
      <c r="M8" s="7">
        <f>IF(調査台帳!N94="媒体掲載値",調査台帳!G94,"未確定")</f>
        <v/>
      </c>
      <c r="N8" s="7" t="inlineStr">
        <is>
          <t>1,000～1,250円／22時以降1,250円／土日祝UP／高校生研修970円</t>
        </is>
      </c>
      <c r="O8" s="7">
        <f>調査台帳!N94</f>
        <v/>
      </c>
      <c r="P8" s="7" t="inlineStr">
        <is>
          <t>未計測</t>
        </is>
      </c>
    </row>
    <row r="9">
      <c r="A9" s="14" t="inlineStr">
        <is>
          <t>深夜時給(22-5時)</t>
        </is>
      </c>
      <c r="B9" s="13" t="n">
        <v>1313</v>
      </c>
      <c r="D9" s="7" t="inlineStr">
        <is>
          <t>牛丼・定食</t>
        </is>
      </c>
      <c r="E9" s="7" t="inlineStr">
        <is>
          <t>すき家(宮崎市内)</t>
        </is>
      </c>
      <c r="F9" s="7">
        <f>IF(調査台帳!N88="媒体掲載値",調査台帳!G88,"未確定")</f>
        <v/>
      </c>
      <c r="G9" s="7" t="inlineStr">
        <is>
          <t>通常1,080円～／高校生1,023円／深夜1,350円／早朝+150円</t>
        </is>
      </c>
      <c r="H9" s="7">
        <f>調査台帳!N88</f>
        <v/>
      </c>
      <c r="I9" s="7" t="inlineStr">
        <is>
          <t>未計測</t>
        </is>
      </c>
      <c r="K9" s="7" t="inlineStr"/>
      <c r="L9" s="7" t="inlineStr">
        <is>
          <t>無添くら寿司(宮崎市)</t>
        </is>
      </c>
      <c r="M9" s="7">
        <f>IF(調査台帳!N95="媒体掲載値",調査台帳!G95,"未確定")</f>
        <v/>
      </c>
      <c r="N9" s="7" t="inlineStr">
        <is>
          <t>1,030円～</t>
        </is>
      </c>
      <c r="O9" s="7">
        <f>調査台帳!N95</f>
        <v/>
      </c>
      <c r="P9" s="7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8" t="inlineStr">
        <is>
          <t>ファミレス</t>
        </is>
      </c>
      <c r="E10" s="8" t="inlineStr">
        <is>
          <t>ジョイフル 宮崎田野店</t>
        </is>
      </c>
      <c r="F10" s="8">
        <f>IF(調査台帳!N89="媒体掲載値",調査台帳!G89,"未確定")</f>
        <v/>
      </c>
      <c r="G10" s="8" t="inlineStr">
        <is>
          <t>求人表示 1,073～1,467円／日祝+50円</t>
        </is>
      </c>
      <c r="H10" s="8">
        <f>調査台帳!N89</f>
        <v/>
      </c>
      <c r="I10" s="8" t="inlineStr">
        <is>
          <t>未計測</t>
        </is>
      </c>
      <c r="K10" s="7" t="inlineStr">
        <is>
          <t>商業施設</t>
        </is>
      </c>
      <c r="L10" s="7" t="inlineStr">
        <is>
          <t>イオンモール宮崎(飲食テナント)</t>
        </is>
      </c>
      <c r="M10" s="7">
        <f>IF(調査台帳!N96="媒体掲載値",調査台帳!G96,"未確定")</f>
        <v/>
      </c>
      <c r="N10" s="7" t="inlineStr">
        <is>
          <t>施設全体で飲食1,200円～・カフェ960円以上</t>
        </is>
      </c>
      <c r="O10" s="7">
        <f>調査台帳!N96</f>
        <v/>
      </c>
      <c r="P10" s="7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  <c r="D11" s="8" t="inlineStr">
        <is>
          <t>ファストフード</t>
        </is>
      </c>
      <c r="E11" s="8" t="inlineStr">
        <is>
          <t>ケンタッキー イオンモール宮崎店</t>
        </is>
      </c>
      <c r="F11" s="8">
        <f>IF(調査台帳!N90="媒体掲載値",調査台帳!G90,"未確定")</f>
        <v/>
      </c>
      <c r="G11" s="8" t="inlineStr">
        <is>
          <t>一般1,200円(研修1,100円)／高校生1,100円(研修1,023円)</t>
        </is>
      </c>
      <c r="H11" s="8">
        <f>調査台帳!N90</f>
        <v/>
      </c>
      <c r="I11" s="8" t="inlineStr">
        <is>
          <t>未計測</t>
        </is>
      </c>
    </row>
    <row r="12">
      <c r="A12" s="14" t="inlineStr">
        <is>
          <t>最低賃金との差</t>
        </is>
      </c>
      <c r="B12" s="13">
        <f>B8-B5</f>
        <v/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  <c r="D13" s="15" t="inlineStr">
        <is>
          <t>周辺相場（証明レベルが通った値のみで集計・対象13件中）</t>
        </is>
      </c>
    </row>
    <row r="14">
      <c r="D14" s="16" t="inlineStr">
        <is>
          <t>採用できた件数</t>
        </is>
      </c>
      <c r="E14" s="10">
        <f>COUNT(F5:F11,M5:M10)</f>
        <v/>
      </c>
    </row>
    <row r="15">
      <c r="D15" s="16" t="inlineStr">
        <is>
          <t>最安</t>
        </is>
      </c>
      <c r="E15" s="10">
        <f>IF(COUNT(F5:F11,M5:M10)=0,"-",MIN(F5:F11,M5:M10))</f>
        <v/>
      </c>
    </row>
    <row r="16">
      <c r="D16" s="16" t="inlineStr">
        <is>
          <t>中央値</t>
        </is>
      </c>
      <c r="E16" s="10">
        <f>IF(COUNT(F5:F11,M5:M10)=0,"-",MEDIAN(F5:F11,M5:M10))</f>
        <v/>
      </c>
    </row>
    <row r="17">
      <c r="D17" s="16" t="inlineStr">
        <is>
          <t>最高</t>
        </is>
      </c>
      <c r="E17" s="10">
        <f>IF(COUNT(F5:F11,M5:M10)=0,"-",MAX(F5:F11,M5:M10))</f>
        <v/>
      </c>
    </row>
    <row r="18">
      <c r="D18" s="16" t="inlineStr">
        <is>
          <t>自社と中央値の差</t>
        </is>
      </c>
      <c r="E18" s="10">
        <f>IF(COUNT(F5:F11,M5:M10)=0,"-",$B$8-MEDIAN(F5:F11,M5:M10))</f>
        <v/>
      </c>
    </row>
    <row r="19">
      <c r="D19" s="16" t="inlineStr">
        <is>
          <t>自社と最安の差</t>
        </is>
      </c>
      <c r="E19" s="10">
        <f>IF(COUNT(F5:F11,M5:M10)=0,"-",$B$8-MIN(F5:F11,M5:M10))</f>
        <v/>
      </c>
    </row>
    <row r="21">
      <c r="D21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2">
      <c r="D22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34" customWidth="1" min="3" max="3"/>
    <col width="12" customWidth="1" min="4" max="4"/>
    <col width="44" customWidth="1" min="5" max="5"/>
  </cols>
  <sheetData>
    <row r="1">
      <c r="A1" s="6" t="inlineStr">
        <is>
          <t>自動検証チェック</t>
        </is>
      </c>
    </row>
    <row r="2">
      <c r="A2" s="2" t="inlineStr">
        <is>
          <t>調査台帳を数式で集計し、過去の取り違え事故の再現テストを実行します。『最終警告数』が0でなければ確定版として使用しないでください。</t>
        </is>
      </c>
    </row>
    <row r="4">
      <c r="A4" s="3" t="inlineStr">
        <is>
          <t>集計項目</t>
        </is>
      </c>
      <c r="B4" s="3" t="inlineStr">
        <is>
          <t>件数</t>
        </is>
      </c>
      <c r="C4" s="3" t="inlineStr">
        <is>
          <t>意味</t>
        </is>
      </c>
      <c r="D4" s="3" t="inlineStr">
        <is>
          <t>判定</t>
        </is>
      </c>
      <c r="E4" s="3" t="inlineStr">
        <is>
          <t>備考</t>
        </is>
      </c>
    </row>
    <row r="5">
      <c r="A5" s="10" t="inlineStr">
        <is>
          <t>台帳の総レコード数</t>
        </is>
      </c>
      <c r="B5" s="10">
        <f>COUNTA(調査台帳!$A$6:$A$96)</f>
        <v/>
      </c>
      <c r="C5" s="10" t="inlineStr">
        <is>
          <t>調査対象として立てた件数</t>
        </is>
      </c>
      <c r="D5" s="10" t="n"/>
      <c r="E5" s="17" t="inlineStr"/>
    </row>
    <row r="6">
      <c r="A6" s="10" t="inlineStr">
        <is>
          <t>媒体掲載値として採用</t>
        </is>
      </c>
      <c r="B6" s="10">
        <f>COUNTIF(調査台帳!$N$6:$N$96,"媒体掲載値")</f>
        <v/>
      </c>
      <c r="C6" s="10" t="inlineStr">
        <is>
          <t>店舗と金額の帰属を確認できた件数</t>
        </is>
      </c>
      <c r="D6" s="10" t="n"/>
      <c r="E6" s="17" t="inlineStr">
        <is>
          <t>これのみ主表に数値表示される</t>
        </is>
      </c>
    </row>
    <row r="7">
      <c r="A7" s="10" t="inlineStr">
        <is>
          <t>未確定(最低賃金割れ)</t>
        </is>
      </c>
      <c r="B7" s="10">
        <f>COUNTIF(調査台帳!$N$6:$N$96,"未確定(最低賃金割れ)")</f>
        <v/>
      </c>
      <c r="C7" s="10" t="inlineStr">
        <is>
          <t>旧掲載の疑いで自動除外</t>
        </is>
      </c>
      <c r="D7" s="10" t="n"/>
      <c r="E7" s="17" t="inlineStr">
        <is>
          <t>改定前の求人が残っているもの</t>
        </is>
      </c>
    </row>
    <row r="8">
      <c r="A8" s="10" t="inlineStr">
        <is>
          <t>未確定(近隣欄からの抽出)</t>
        </is>
      </c>
      <c r="B8" s="10">
        <f>COUNTIF(調査台帳!$N$6:$N$96,"未確定(近隣欄からの抽出)")</f>
        <v/>
      </c>
      <c r="C8" s="10" t="inlineStr">
        <is>
          <t>近隣求人欄の金額のため除外</t>
        </is>
      </c>
      <c r="D8" s="10" t="n"/>
      <c r="E8" s="17" t="inlineStr">
        <is>
          <t>南柏店の事故そのもののガード</t>
        </is>
      </c>
    </row>
    <row r="9">
      <c r="A9" s="10" t="inlineStr">
        <is>
          <t>未確定(店舗非固有)</t>
        </is>
      </c>
      <c r="B9" s="10">
        <f>COUNTIF(調査台帳!$N$6:$N$96,"未確定(店舗非固有)")</f>
        <v/>
      </c>
      <c r="C9" s="10" t="inlineStr">
        <is>
          <t>ブランド共通レンジのため除外</t>
        </is>
      </c>
      <c r="D9" s="10" t="n"/>
      <c r="E9" s="17" t="inlineStr">
        <is>
          <t>県内一括レンジ・深夜込みレンジ</t>
        </is>
      </c>
    </row>
    <row r="10">
      <c r="A10" s="10" t="inlineStr">
        <is>
          <t>未確定(施設一般値)</t>
        </is>
      </c>
      <c r="B10" s="10">
        <f>COUNTIF(調査台帳!$N$6:$N$96,"未確定(施設一般値)")</f>
        <v/>
      </c>
      <c r="C10" s="10" t="inlineStr">
        <is>
          <t>商業施設全体の値のため除外</t>
        </is>
      </c>
      <c r="D10" s="10" t="n"/>
      <c r="E10" s="17" t="inlineStr"/>
    </row>
    <row r="11">
      <c r="A11" s="10" t="inlineStr">
        <is>
          <t>未確定(店舗非特定)</t>
        </is>
      </c>
      <c r="B11" s="10">
        <f>COUNTIF(調査台帳!$N$6:$N$96,"未確定(店舗非特定)")</f>
        <v/>
      </c>
      <c r="C11" s="10" t="inlineStr">
        <is>
          <t>どの店舗の金額か特定できず除外</t>
        </is>
      </c>
      <c r="D11" s="10" t="n"/>
      <c r="E11" s="17" t="inlineStr"/>
    </row>
    <row r="12">
      <c r="A12" s="10" t="inlineStr">
        <is>
          <t>未確定(情報源の矛盾)</t>
        </is>
      </c>
      <c r="B12" s="10">
        <f>COUNTIF(調査台帳!$N$6:$N$96,"未確定(情報源の矛盾)")</f>
        <v/>
      </c>
      <c r="C12" s="10" t="inlineStr">
        <is>
          <t>同一店舗に複数の金額があり除外</t>
        </is>
      </c>
      <c r="D12" s="10" t="n"/>
      <c r="E12" s="17" t="inlineStr">
        <is>
          <t>どちらかを自動で選ばない</t>
        </is>
      </c>
    </row>
    <row r="13">
      <c r="A13" s="10" t="inlineStr">
        <is>
          <t>未確定(証拠不足)</t>
        </is>
      </c>
      <c r="B13" s="10">
        <f>COUNTIF(調査台帳!$N$6:$N$96,"未確定(証拠不足)")</f>
        <v/>
      </c>
      <c r="C13" s="10" t="inlineStr">
        <is>
          <t>証拠4点セットが揃わず除外</t>
        </is>
      </c>
      <c r="D13" s="10" t="n"/>
      <c r="E13" s="17" t="inlineStr"/>
    </row>
    <row r="14">
      <c r="A14" s="10" t="inlineStr">
        <is>
          <t>取得不能</t>
        </is>
      </c>
      <c r="B14" s="10">
        <f>COUNTIF(調査台帳!$N$6:$N$96,"取得不能")</f>
        <v/>
      </c>
      <c r="C14" s="10" t="inlineStr">
        <is>
          <t>時給そのものを取得できず</t>
        </is>
      </c>
      <c r="D14" s="10" t="n"/>
      <c r="E14" s="17" t="inlineStr"/>
    </row>
    <row r="15">
      <c r="A15" s="9" t="inlineStr">
        <is>
          <t>合計(内訳の和)</t>
        </is>
      </c>
      <c r="B15" s="10">
        <f>SUM(B6:B14)</f>
        <v/>
      </c>
      <c r="C15" s="10" t="inlineStr">
        <is>
          <t>総レコード数と一致すること</t>
        </is>
      </c>
      <c r="D15" s="10">
        <f>IF(B15=B5,"OK","NG")</f>
        <v/>
      </c>
      <c r="E15" s="10" t="n"/>
    </row>
    <row r="17">
      <c r="A17" s="5" t="inlineStr">
        <is>
          <t>店舗取り違え・旧掲載・情報源矛盾 の再現テスト</t>
        </is>
      </c>
    </row>
    <row r="18">
      <c r="A18" s="2" t="inlineStr">
        <is>
          <t>台帳と同じ判定式に、過去の事故と同じ形のデータを流し込みます。全てPASSであることを確認してください。</t>
        </is>
      </c>
    </row>
    <row r="19">
      <c r="A19" s="3" t="inlineStr">
        <is>
          <t>テスト内容</t>
        </is>
      </c>
      <c r="B19" s="3" t="inlineStr">
        <is>
          <t>投入した時給</t>
        </is>
      </c>
      <c r="C19" s="3" t="inlineStr">
        <is>
          <t>投入した取得元区分</t>
        </is>
      </c>
      <c r="D19" s="3" t="inlineStr">
        <is>
          <t>判定結果</t>
        </is>
      </c>
      <c r="E19" s="3" t="inlineStr">
        <is>
          <t>期待結果／合否</t>
        </is>
      </c>
    </row>
    <row r="20">
      <c r="A20" s="8" t="inlineStr">
        <is>
          <t>①ページタイトルはイオンモール柏、金額は近隣求人欄のららぽーと柏の葉1,300円</t>
        </is>
      </c>
      <c r="B20" s="8" t="n">
        <v>1300</v>
      </c>
      <c r="C20" s="8" t="inlineStr">
        <is>
          <t>近隣求人欄</t>
        </is>
      </c>
      <c r="D20" s="8">
        <f>IF(C20="近隣求人欄","未確定(近隣欄からの抽出)",IF(C20="ブランド共通","未確定(店舗非固有)",IF(C20="施設一般","未確定(施設一般値)",IF(C20="店舗非特定","未確定(店舗非特定)",IF(C20="情報源矛盾","未確定(情報源の矛盾)",IF(B20&lt;1140,"未確定(最低賃金割れ)","媒体掲載値"))))))</f>
        <v/>
      </c>
      <c r="E20" s="8">
        <f>IF(LEFT(D20,3)="未確定","PASS(採用されない)","FAIL(採用されてしまう)")</f>
        <v/>
      </c>
    </row>
    <row r="21">
      <c r="A21" s="8" t="inlineStr">
        <is>
          <t>②県内共通レンジ(深夜込み)を店舗の通常時給として投入</t>
        </is>
      </c>
      <c r="B21" s="8" t="n">
        <v>1240</v>
      </c>
      <c r="C21" s="8" t="inlineStr">
        <is>
          <t>ブランド共通</t>
        </is>
      </c>
      <c r="D21" s="8">
        <f>IF(C21="近隣求人欄","未確定(近隣欄からの抽出)",IF(C21="ブランド共通","未確定(店舗非固有)",IF(C21="施設一般","未確定(施設一般値)",IF(C21="店舗非特定","未確定(店舗非特定)",IF(C21="情報源矛盾","未確定(情報源の矛盾)",IF(B21&lt;1057,"未確定(最低賃金割れ)","媒体掲載値"))))))</f>
        <v/>
      </c>
      <c r="E21" s="8">
        <f>IF(LEFT(D21,3)="未確定","PASS(採用されない)","FAIL(採用されてしまう)")</f>
        <v/>
      </c>
    </row>
    <row r="22">
      <c r="A22" s="8" t="inlineStr">
        <is>
          <t>③商業施設全体の一般値を特定テナントの時給として投入</t>
        </is>
      </c>
      <c r="B22" s="8" t="n">
        <v>1200</v>
      </c>
      <c r="C22" s="8" t="inlineStr">
        <is>
          <t>施設一般</t>
        </is>
      </c>
      <c r="D22" s="8">
        <f>IF(C22="近隣求人欄","未確定(近隣欄からの抽出)",IF(C22="ブランド共通","未確定(店舗非固有)",IF(C22="施設一般","未確定(施設一般値)",IF(C22="店舗非特定","未確定(店舗非特定)",IF(C22="情報源矛盾","未確定(情報源の矛盾)",IF(B22&lt;1023,"未確定(最低賃金割れ)","媒体掲載値"))))))</f>
        <v/>
      </c>
      <c r="E22" s="8">
        <f>IF(LEFT(D22,3)="未確定","PASS(採用されない)","FAIL(採用されてしまう)")</f>
        <v/>
      </c>
    </row>
    <row r="23">
      <c r="A23" s="8" t="inlineStr">
        <is>
          <t>④どの店舗の値か特定できないまま投入</t>
        </is>
      </c>
      <c r="B23" s="8" t="n">
        <v>1042</v>
      </c>
      <c r="C23" s="8" t="inlineStr">
        <is>
          <t>店舗非特定</t>
        </is>
      </c>
      <c r="D23" s="8">
        <f>IF(C23="近隣求人欄","未確定(近隣欄からの抽出)",IF(C23="ブランド共通","未確定(店舗非固有)",IF(C23="施設一般","未確定(施設一般値)",IF(C23="店舗非特定","未確定(店舗非特定)",IF(C23="情報源矛盾","未確定(情報源の矛盾)",IF(B23&lt;1057,"未確定(最低賃金割れ)","媒体掲載値"))))))</f>
        <v/>
      </c>
      <c r="E23" s="8">
        <f>IF(LEFT(D23,3)="未確定","PASS(採用されない)","FAIL(採用されてしまう)")</f>
        <v/>
      </c>
    </row>
    <row r="24">
      <c r="A24" s="8" t="inlineStr">
        <is>
          <t>⑤同一店舗に1,200円と1,100円。高いほうを採用しようとする</t>
        </is>
      </c>
      <c r="B24" s="8" t="n">
        <v>1200</v>
      </c>
      <c r="C24" s="8" t="inlineStr">
        <is>
          <t>情報源矛盾</t>
        </is>
      </c>
      <c r="D24" s="8">
        <f>IF(C24="近隣求人欄","未確定(近隣欄からの抽出)",IF(C24="ブランド共通","未確定(店舗非固有)",IF(C24="施設一般","未確定(施設一般値)",IF(C24="店舗非特定","未確定(店舗非特定)",IF(C24="情報源矛盾","未確定(情報源の矛盾)",IF(B24&lt;1057,"未確定(最低賃金割れ)","媒体掲載値"))))))</f>
        <v/>
      </c>
      <c r="E24" s="8">
        <f>IF(LEFT(D24,3)="未確定","PASS(採用されない)","FAIL(採用されてしまう)")</f>
        <v/>
      </c>
    </row>
    <row r="25">
      <c r="A25" s="8" t="inlineStr">
        <is>
          <t>⑥改定前の旧掲載（熊本1,034円に対し900円）</t>
        </is>
      </c>
      <c r="B25" s="8" t="n">
        <v>900</v>
      </c>
      <c r="C25" s="8" t="inlineStr">
        <is>
          <t>対象求人本文</t>
        </is>
      </c>
      <c r="D25" s="8">
        <f>IF(C25="近隣求人欄","未確定(近隣欄からの抽出)",IF(C25="ブランド共通","未確定(店舗非固有)",IF(C25="施設一般","未確定(施設一般値)",IF(C25="店舗非特定","未確定(店舗非特定)",IF(C25="情報源矛盾","未確定(情報源の矛盾)",IF(B25&lt;1034,"未確定(最低賃金割れ)","媒体掲載値"))))))</f>
        <v/>
      </c>
      <c r="E25" s="8">
        <f>IF(LEFT(D25,3)="未確定","PASS(採用されない)","FAIL(採用されてしまう)")</f>
        <v/>
      </c>
    </row>
    <row r="26">
      <c r="A26" s="8" t="inlineStr">
        <is>
          <t>⑦店舗名・住所・求人ID・時給がすべて揃った正常データ</t>
        </is>
      </c>
      <c r="B26" s="8" t="n">
        <v>1150</v>
      </c>
      <c r="C26" s="8" t="inlineStr">
        <is>
          <t>対象求人本文</t>
        </is>
      </c>
      <c r="D26" s="8">
        <f>IF(C26="近隣求人欄","未確定(近隣欄からの抽出)",IF(C26="ブランド共通","未確定(店舗非固有)",IF(C26="施設一般","未確定(施設一般値)",IF(C26="店舗非特定","未確定(店舗非特定)",IF(C26="情報源矛盾","未確定(情報源の矛盾)",IF(B26&lt;1030,"未確定(最低賃金割れ)","媒体掲載値"))))))</f>
        <v/>
      </c>
      <c r="E26" s="8">
        <f>IF(D26="媒体掲載値","PASS(正常データは通る)","FAIL")</f>
        <v/>
      </c>
    </row>
    <row r="29">
      <c r="A29" s="18" t="inlineStr">
        <is>
          <t>最終警告数</t>
        </is>
      </c>
      <c r="B29" s="10">
        <f>COUNTIF(E20:E26,"FAIL*")+IF(D15="OK",0,1)</f>
        <v/>
      </c>
      <c r="C29" s="10" t="inlineStr">
        <is>
          <t>0件でなければ確定版として使用しない</t>
        </is>
      </c>
      <c r="D29" s="10">
        <f>IF(B29=0,"OK","NG")</f>
        <v/>
      </c>
    </row>
    <row r="31">
      <c r="A31" s="2" t="inlineStr">
        <is>
          <t>※このシートが検証できるのは「抽出の正しさ」だけです。求人情報そのものが古い・誤掲載である可能性は、</t>
        </is>
      </c>
    </row>
    <row r="32">
      <c r="A32" s="2" t="inlineStr">
        <is>
          <t xml:space="preserve">　同じ情報を再検査しても検証できません。実際に支払われる時給を証明するには、店舗または採用本部への直接確認が必要です。</t>
        </is>
      </c>
    </row>
    <row r="33">
      <c r="A33" s="2" t="inlineStr">
        <is>
          <t>※自社時給のみ社内データに基づく「実額確認済み」です。競合はすべて「公開求人の掲載値」であり、実額ではありません。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2026-07-31T04:05:35Z</dcterms:created>
  <dcterms:modified xsi:type="dcterms:W3CDTF">2026-07-31T04:05:35Z</dcterms:modified>
</cp:coreProperties>
</file>